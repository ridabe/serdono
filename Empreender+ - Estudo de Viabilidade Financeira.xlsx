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Investimento Inicial" sheetId="3" state="visible" r:id="rId5"/>
    <sheet name="Custos Fixos" sheetId="4" state="visible" r:id="rId6"/>
    <sheet name="Unit Economics" sheetId="5" state="visible" r:id="rId7"/>
    <sheet name="Projecao 24 meses" sheetId="6" state="visible" r:id="rId8"/>
    <sheet name="Ponto de Equilibrio" sheetId="7" state="visible" r:id="rId9"/>
    <sheet name="Fo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<sst xmlns="http://schemas.openxmlformats.org/spreadsheetml/2006/main" count="460" uniqueCount="363">
  <si>
    <t xml:space="preserve">EMPREENDER+ — Estudo de Viabilidade Financeira</t>
  </si>
  <si>
    <t xml:space="preserve">Versão 1.0 · 27 de julho de 2026 · Documento preliminar para discussão entre sócios</t>
  </si>
  <si>
    <t xml:space="preserve">COMO USAR ESTA PLANILHA</t>
  </si>
  <si>
    <t xml:space="preserve">Células amarelas com texto azul</t>
  </si>
  <si>
    <t xml:space="preserve">São as premissas que você pode e deve editar. Todo o resto é fórmula e recalcula sozinho.</t>
  </si>
  <si>
    <t xml:space="preserve">Células pretas</t>
  </si>
  <si>
    <t xml:space="preserve">Fórmulas. Não edite — elas dependem das premissas.</t>
  </si>
  <si>
    <t xml:space="preserve">Aba Premissas</t>
  </si>
  <si>
    <t xml:space="preserve">Centraliza todos os direcionadores do modelo: câmbio, preços, custo de IA, churn, CAC.</t>
  </si>
  <si>
    <t xml:space="preserve">ABAS</t>
  </si>
  <si>
    <t xml:space="preserve">Premissas</t>
  </si>
  <si>
    <t xml:space="preserve">Todos os direcionadores do modelo, com a fonte de cada número.</t>
  </si>
  <si>
    <t xml:space="preserve">Investimento Inicial</t>
  </si>
  <si>
    <t xml:space="preserve">O que precisa ser desembolsado antes do lançamento, e o custo de desenvolvimento como referência.</t>
  </si>
  <si>
    <t xml:space="preserve">Custos Fixos</t>
  </si>
  <si>
    <t xml:space="preserve">Infraestrutura e operação, escalonados por faixa de assinantes.</t>
  </si>
  <si>
    <t xml:space="preserve">Unit Economics</t>
  </si>
  <si>
    <t xml:space="preserve">Quanto sobra de cada assinatura, LTV, CAC e payback. É a aba mais importante.</t>
  </si>
  <si>
    <t xml:space="preserve">Projecao 24 meses</t>
  </si>
  <si>
    <t xml:space="preserve">Três cenários mês a mês: conservador, realista e otimista.</t>
  </si>
  <si>
    <t xml:space="preserve">Ponto de Equilibrio</t>
  </si>
  <si>
    <t xml:space="preserve">Quantos assinantes pagam a conta e em quanto tempo o investimento retorna.</t>
  </si>
  <si>
    <t xml:space="preserve">Fontes</t>
  </si>
  <si>
    <t xml:space="preserve">Origem de cada número de mercado usado no modelo.</t>
  </si>
  <si>
    <t xml:space="preserve">AVISOS IMPORTANTES</t>
  </si>
  <si>
    <t xml:space="preserve">Premissas, não previsões</t>
  </si>
  <si>
    <t xml:space="preserve">Nenhum número aqui é garantido. O valor da planilha está em mostrar quais variáveis decidem o resultado.</t>
  </si>
  <si>
    <t xml:space="preserve">As três variáveis críticas</t>
  </si>
  <si>
    <t xml:space="preserve">1) custo de IA por assinante  2) churn mensal  3) CAC. Uma variação pequena em qualquer uma delas muda o resultado inteiro.</t>
  </si>
  <si>
    <t xml:space="preserve">Não é aconselhamento financeiro</t>
  </si>
  <si>
    <t xml:space="preserve">Este é um modelo de trabalho. Valide os números fiscais com seu contador antes de tomar decisões.</t>
  </si>
  <si>
    <t xml:space="preserve">Premissas do Modelo</t>
  </si>
  <si>
    <t xml:space="preserve">Edite apenas as células amarelas. A coluna Fonte explica de onde veio cada número.</t>
  </si>
  <si>
    <t xml:space="preserve">Premissa</t>
  </si>
  <si>
    <t xml:space="preserve">Valor</t>
  </si>
  <si>
    <t xml:space="preserve">Fonte / justificativa</t>
  </si>
  <si>
    <t xml:space="preserve">CÂMBIO E CARGA FISCAL</t>
  </si>
  <si>
    <t xml:space="preserve">Câmbio USD → BRL</t>
  </si>
  <si>
    <t xml:space="preserve">Cotação de 27/07/2026 (Investing.com). Revise periodicamente.</t>
  </si>
  <si>
    <t xml:space="preserve">Imposto sobre receita (Simples Nacional)</t>
  </si>
  <si>
    <t xml:space="preserve">Anexo III, 1ª faixa (até R$ 180 mil/ano). Sobe conforme o faturamento — confirme com o contador.</t>
  </si>
  <si>
    <t xml:space="preserve">Taxa do gateway de pagamento</t>
  </si>
  <si>
    <t xml:space="preserve">Stripe Brasil: 3,99% nacional + 0,4% para assinatura recorrente.</t>
  </si>
  <si>
    <t xml:space="preserve">Comissão das lojas de aplicativo</t>
  </si>
  <si>
    <t xml:space="preserve">Apple/Google Small Business Program: 15% para faturamento abaixo de US$ 1 mi/ano.</t>
  </si>
  <si>
    <t xml:space="preserve">% das assinaturas cobradas dentro do app</t>
  </si>
  <si>
    <t xml:space="preserve">PREMISSA CRÍTICA: quanto maior, menor a margem. Cobrar pela web evita a comissão.</t>
  </si>
  <si>
    <t xml:space="preserve">PREÇOS E MIX DE PLANOS</t>
  </si>
  <si>
    <t xml:space="preserve">Plano Básico (R$/mês)</t>
  </si>
  <si>
    <t xml:space="preserve">Definido por você.</t>
  </si>
  <si>
    <t xml:space="preserve">Plano Premium (R$/mês)</t>
  </si>
  <si>
    <t xml:space="preserve">% dos assinantes no plano Básico</t>
  </si>
  <si>
    <t xml:space="preserve">Premissa. Em SaaS B2C, o plano de entrada costuma concentrar 65% a 80% da base.</t>
  </si>
  <si>
    <t xml:space="preserve">Receita média por assinante (ARPU)</t>
  </si>
  <si>
    <t xml:space="preserve">Calculado.</t>
  </si>
  <si>
    <t xml:space="preserve">CUSTO DE INTELIGÊNCIA ARTIFICIAL</t>
  </si>
  <si>
    <t xml:space="preserve">Interações com o copiloto por assinante/mês</t>
  </si>
  <si>
    <t xml:space="preserve">Premissa de uso. Um assinante ativo em pleno workflow. Ajuste após medir o uso real.</t>
  </si>
  <si>
    <t xml:space="preserve">Tokens de entrada por interação</t>
  </si>
  <si>
    <t xml:space="preserve">Contexto do negócio + memória + playbook do nicho + pergunta.</t>
  </si>
  <si>
    <t xml:space="preserve">Tokens de saída por interação</t>
  </si>
  <si>
    <t xml:space="preserve">Resposta do copiloto.</t>
  </si>
  <si>
    <t xml:space="preserve">% das chamadas no modelo econômico</t>
  </si>
  <si>
    <t xml:space="preserve">Roteamento: perguntas simples no modelo barato, etapas críticas no modelo avançado.</t>
  </si>
  <si>
    <t xml:space="preserve">Modelo econômico — entrada (US$/1M tokens)</t>
  </si>
  <si>
    <t xml:space="preserve">Claude Haiku 4.5, julho/2026.</t>
  </si>
  <si>
    <t xml:space="preserve">Modelo econômico — saída (US$/1M tokens)</t>
  </si>
  <si>
    <t xml:space="preserve">Modelo avançado — entrada (US$/1M tokens)</t>
  </si>
  <si>
    <t xml:space="preserve">Claude Sonnet, julho/2026.</t>
  </si>
  <si>
    <t xml:space="preserve">Modelo avançado — saída (US$/1M tokens)</t>
  </si>
  <si>
    <t xml:space="preserve">Economia obtida com cache de prompt</t>
  </si>
  <si>
    <t xml:space="preserve">Cache reduz até 90% do custo de entrada repetida. 35% é uma estimativa conservadora do efeito líquido.</t>
  </si>
  <si>
    <t xml:space="preserve">Custo de IA por assinante Básico (R$/mês)</t>
  </si>
  <si>
    <t xml:space="preserve">Calculado a partir das premissas acima. É a variável nº 1 do modelo.</t>
  </si>
  <si>
    <t xml:space="preserve">Multiplicador de uso do plano Premium</t>
  </si>
  <si>
    <t xml:space="preserve">Premium usa mais módulos e mais IA.</t>
  </si>
  <si>
    <t xml:space="preserve">Custo de IA por assinante Premium (R$/mês)</t>
  </si>
  <si>
    <t xml:space="preserve">FUNIL GRATUITO E AQUISIÇÃO</t>
  </si>
  <si>
    <t xml:space="preserve">Cadastros gratuitos por assinante pago</t>
  </si>
  <si>
    <t xml:space="preserve">Conversão implícita de ~8%. É o custo do diagnóstico gratuito que você oferece.</t>
  </si>
  <si>
    <t xml:space="preserve">Custo de IA por diagnóstico gratuito (R$)</t>
  </si>
  <si>
    <t xml:space="preserve">Diagnóstico é majoritariamente cálculo; a IA só redige a explicação.</t>
  </si>
  <si>
    <t xml:space="preserve">Custo do funil gratuito por assinante pago (R$)</t>
  </si>
  <si>
    <t xml:space="preserve">CAC — custo de aquisição por assinante (R$)</t>
  </si>
  <si>
    <t xml:space="preserve">PREMISSA CRÍTICA. Tráfego pago para SaaS B2C no Brasil. Canal orgânico e parcerias reduzem muito.</t>
  </si>
  <si>
    <t xml:space="preserve">% dos novos assinantes vindos de canal pago</t>
  </si>
  <si>
    <t xml:space="preserve">O restante vem de orgânico, indicação, parcerias e white label — que não consomem CAC.</t>
  </si>
  <si>
    <t xml:space="preserve">Churn mensal</t>
  </si>
  <si>
    <t xml:space="preserve">PREMISSA CRÍTICA. SaaS B2C de baixo ticket costuma ficar entre 5% e 10% ao mês.</t>
  </si>
  <si>
    <t xml:space="preserve">Vida média do assinante (meses)</t>
  </si>
  <si>
    <t xml:space="preserve">Calculado: 1 ÷ churn.</t>
  </si>
  <si>
    <t xml:space="preserve">O que precisa sair do caixa antes do lançamento. Desenvolvimento entra à parte, como referência de mercado.</t>
  </si>
  <si>
    <t xml:space="preserve">Item</t>
  </si>
  <si>
    <t xml:space="preserve">Valor (R$)</t>
  </si>
  <si>
    <t xml:space="preserve">Observação</t>
  </si>
  <si>
    <t xml:space="preserve">A. DESEMBOLSO REAL — PRÉ-LANÇAMENTO</t>
  </si>
  <si>
    <t xml:space="preserve">Abertura da empresa (ME/Simples) e honorários iniciais</t>
  </si>
  <si>
    <t xml:space="preserve">Registro na Junta, CNPJ, alvará e contrato social.</t>
  </si>
  <si>
    <t xml:space="preserve">Registro de domínio .com.br e .com (1 ano)</t>
  </si>
  <si>
    <t xml:space="preserve">Registro.br cobra ~R$ 40/ano pelo .com.br.</t>
  </si>
  <si>
    <t xml:space="preserve">E-mail profissional — Google Workspace, 2 contas, 12 meses</t>
  </si>
  <si>
    <t xml:space="preserve">US$ 7,20/usuário/mês × 2 × 12 × câmbio.</t>
  </si>
  <si>
    <t xml:space="preserve">Apple Developer Program (1 ano)</t>
  </si>
  <si>
    <t xml:space="preserve">US$ 99/ano — renovação anual obrigatória.</t>
  </si>
  <si>
    <t xml:space="preserve">Google Play Console (taxa única)</t>
  </si>
  <si>
    <t xml:space="preserve">US$ 25, pagamento único, sem renovação.</t>
  </si>
  <si>
    <t xml:space="preserve">Registro de marca no INPI (1 classe, com assessoria)</t>
  </si>
  <si>
    <t xml:space="preserve">Guia oficial + honorários. Essencial antes de investir em marketing.</t>
  </si>
  <si>
    <t xml:space="preserve">Identidade visual e design de marca</t>
  </si>
  <si>
    <t xml:space="preserve">Logo, paleta, aplicações, design do produto.</t>
  </si>
  <si>
    <t xml:space="preserve">Assessoria jurídica (Termos de Uso, Privacidade, LGPD)</t>
  </si>
  <si>
    <t xml:space="preserve">Obrigatório: você trata dados pessoais sensíveis no diagnóstico.</t>
  </si>
  <si>
    <t xml:space="preserve">Infraestrutura durante o desenvolvimento (6 meses)</t>
  </si>
  <si>
    <t xml:space="preserve">Supabase e Vercel em plano pago durante o build.</t>
  </si>
  <si>
    <t xml:space="preserve">Ferramentas de desenvolvimento e IA (6 meses)</t>
  </si>
  <si>
    <t xml:space="preserve">Editor com IA, Figma, repositório, ferramentas de apoio.</t>
  </si>
  <si>
    <t xml:space="preserve">Créditos de API de IA para desenvolvimento e testes</t>
  </si>
  <si>
    <t xml:space="preserve">Prototipagem dos prompts, avaliações e testes de carga.</t>
  </si>
  <si>
    <t xml:space="preserve">Curadoria da base de nichos (8 nichos no MVP)</t>
  </si>
  <si>
    <t xml:space="preserve">O ativo mais defensável do produto. Pesquisa e validação com especialistas por nicho.</t>
  </si>
  <si>
    <t xml:space="preserve">Subtotal</t>
  </si>
  <si>
    <t xml:space="preserve">Contingência (15%)</t>
  </si>
  <si>
    <t xml:space="preserve">TOTAL DE DESEMBOLSO PRÉ-LANÇAMENTO</t>
  </si>
  <si>
    <t xml:space="preserve">B. DESENVOLVIMENTO — REFERÊNCIA DE MERCADO (não desembolsado: você desenvolve)</t>
  </si>
  <si>
    <t xml:space="preserve">Cenário</t>
  </si>
  <si>
    <t xml:space="preserve">Escopo</t>
  </si>
  <si>
    <t xml:space="preserve">MVP enxuto (web responsiva + apps híbridos)</t>
  </si>
  <si>
    <t xml:space="preserve">~1.100 h. Diagnóstico, workflow das trilhas A–C, copiloto, cobrança.</t>
  </si>
  <si>
    <t xml:space="preserve">Produto completo (referência central)</t>
  </si>
  <si>
    <t xml:space="preserve">~1.500 h. Tudo acima + entregáveis, dossiê, painel administrativo e apps nativos.</t>
  </si>
  <si>
    <t xml:space="preserve">Produto completo com módulos de operação</t>
  </si>
  <si>
    <t xml:space="preserve">~2.200 h. Inclui marketing, financeiro e hub B2B.</t>
  </si>
  <si>
    <t xml:space="preserve">Fonte: software houses brasileiras praticam de R$ 60 mil (MVP enxuto) a R$ 300 mil+ (produto completo) em 2026. Ver aba Fontes.</t>
  </si>
  <si>
    <t xml:space="preserve">C. MARKETING — SOMENTE APÓS O PRODUTO PRONTO</t>
  </si>
  <si>
    <t xml:space="preserve">Fase</t>
  </si>
  <si>
    <t xml:space="preserve">Pré-lançamento (landing, conteúdo, materiais, lista de espera)</t>
  </si>
  <si>
    <t xml:space="preserve">Desembolso único, 30 a 60 dias antes do lançamento.</t>
  </si>
  <si>
    <t xml:space="preserve">Meses 1 a 3 — validação de canal</t>
  </si>
  <si>
    <t xml:space="preserve">Por mês. Objetivo é descobrir o CAC real, não escalar.</t>
  </si>
  <si>
    <t xml:space="preserve">Meses 4 a 12 — escala controlada</t>
  </si>
  <si>
    <t xml:space="preserve">Por mês. Só aumente depois que a relação LTV/CAC fechar.</t>
  </si>
  <si>
    <t xml:space="preserve">Total de marketing no ano 1</t>
  </si>
  <si>
    <t xml:space="preserve">RESUMO</t>
  </si>
  <si>
    <t xml:space="preserve">Caixa necessário para chegar ao lançamento</t>
  </si>
  <si>
    <t xml:space="preserve">Sem contar o seu trabalho de desenvolvimento.</t>
  </si>
  <si>
    <t xml:space="preserve">Caixa necessário para os 12 primeiros meses (com marketing)</t>
  </si>
  <si>
    <t xml:space="preserve">Investimento inicial + marketing do ano 1. Não inclui os custos fixos mensais, que estão na projeção.</t>
  </si>
  <si>
    <t xml:space="preserve">Valor equivalente do seu trabalho (capital investido em forma de trabalho)</t>
  </si>
  <si>
    <t xml:space="preserve">Referência central de desenvolvimento. Relevante na conversa de participação societária.</t>
  </si>
  <si>
    <t xml:space="preserve">Custos Fixos Mensais por Faixa de Assinantes</t>
  </si>
  <si>
    <t xml:space="preserve">A infraestrutura escala em degraus, não linearmente. Edite os valores em amarelo conforme a realidade.</t>
  </si>
  <si>
    <t xml:space="preserve">Até 500</t>
  </si>
  <si>
    <t xml:space="preserve">501 a 2.000</t>
  </si>
  <si>
    <t xml:space="preserve">2.001 a 10.000</t>
  </si>
  <si>
    <t xml:space="preserve">Acima de 10.000</t>
  </si>
  <si>
    <t xml:space="preserve">CUSTOS EM DÓLAR (convertidos pelo câmbio da aba Premissas)</t>
  </si>
  <si>
    <t xml:space="preserve">Supabase (banco de dados, auth, storage)</t>
  </si>
  <si>
    <t xml:space="preserve">Pro = US$ 25 com compute Micro. Instâncias maiores e egress elevam a conta. Team = US$ 599.</t>
  </si>
  <si>
    <t xml:space="preserve">Vercel (hospedagem do sistema web)</t>
  </si>
  <si>
    <t xml:space="preserve">Pro = US$ 20/assento com 1 TB. Excedente a US$ 0,15/GB.</t>
  </si>
  <si>
    <t xml:space="preserve">E-mail transacional</t>
  </si>
  <si>
    <t xml:space="preserve">Resend/Postmark. Gratuito no início.</t>
  </si>
  <si>
    <t xml:space="preserve">Google Workspace (e-mail profissional)</t>
  </si>
  <si>
    <t xml:space="preserve">US$ 7,20 por conta/mês.</t>
  </si>
  <si>
    <t xml:space="preserve">Apple Developer (rateio mensal)</t>
  </si>
  <si>
    <t xml:space="preserve">US$ 99/ano ÷ 12.</t>
  </si>
  <si>
    <t xml:space="preserve">Monitoramento e observabilidade</t>
  </si>
  <si>
    <t xml:space="preserve">Sentry/Logs. Gratuito no início.</t>
  </si>
  <si>
    <t xml:space="preserve">Armazenamento e CDN adicionais</t>
  </si>
  <si>
    <t xml:space="preserve">Documentos gerados, imagens, exportações.</t>
  </si>
  <si>
    <t xml:space="preserve">Subtotal em US$</t>
  </si>
  <si>
    <t xml:space="preserve">Subtotal em R$</t>
  </si>
  <si>
    <t xml:space="preserve">CUSTOS EM REAIS</t>
  </si>
  <si>
    <t xml:space="preserve">Contabilidade</t>
  </si>
  <si>
    <t xml:space="preserve">Escritório contábil para Simples Nacional.</t>
  </si>
  <si>
    <t xml:space="preserve">Ferramentas de desenvolvimento e produtividade</t>
  </si>
  <si>
    <t xml:space="preserve">Editor com IA, design, gestão.</t>
  </si>
  <si>
    <t xml:space="preserve">Suporte e atendimento ao assinante</t>
  </si>
  <si>
    <t xml:space="preserve">Você atende no início; a partir de ~500 assinantes vira função dedicada.</t>
  </si>
  <si>
    <t xml:space="preserve">TOTAL DE CUSTO FIXO (R$/mês)</t>
  </si>
  <si>
    <t xml:space="preserve">TABELA DE CONSULTA (usada pela projeção)</t>
  </si>
  <si>
    <t xml:space="preserve">Assinantes a partir de</t>
  </si>
  <si>
    <t xml:space="preserve">Faixa</t>
  </si>
  <si>
    <t xml:space="preserve">Custo fixo (R$/mês)</t>
  </si>
  <si>
    <t xml:space="preserve">Até 500 assinantes</t>
  </si>
  <si>
    <t xml:space="preserve">501 a 2.000 assinantes</t>
  </si>
  <si>
    <t xml:space="preserve">2.001 a 10.000 assinantes</t>
  </si>
  <si>
    <t xml:space="preserve">Acima de 10.000 assinantes</t>
  </si>
  <si>
    <t xml:space="preserve">Economia por Assinante</t>
  </si>
  <si>
    <t xml:space="preserve">Quanto sobra de cada assinatura depois de todos os custos que variam com o número de usuários.</t>
  </si>
  <si>
    <t xml:space="preserve">Linha</t>
  </si>
  <si>
    <t xml:space="preserve">Plano Básico</t>
  </si>
  <si>
    <t xml:space="preserve">Plano Premium</t>
  </si>
  <si>
    <t xml:space="preserve">Média ponderada</t>
  </si>
  <si>
    <t xml:space="preserve">Receita bruta mensal</t>
  </si>
  <si>
    <t xml:space="preserve">Preço de tabela.</t>
  </si>
  <si>
    <t xml:space="preserve">(-) Impostos sobre receita</t>
  </si>
  <si>
    <t xml:space="preserve">Simples Nacional.</t>
  </si>
  <si>
    <t xml:space="preserve">(-) Taxa de gateway (parte cobrada na web)</t>
  </si>
  <si>
    <t xml:space="preserve">Só incide sobre a parcela cobrada fora das lojas.</t>
  </si>
  <si>
    <t xml:space="preserve">(-) Comissão das lojas de aplicativo</t>
  </si>
  <si>
    <t xml:space="preserve">15% sobre a parcela cobrada dentro do app. Cobrar pela web elimina esta linha.</t>
  </si>
  <si>
    <t xml:space="preserve">(-) Custo de inteligência artificial</t>
  </si>
  <si>
    <t xml:space="preserve">A maior despesa variável. Ver premissas de IA.</t>
  </si>
  <si>
    <t xml:space="preserve">(-) Custo do funil gratuito rateado</t>
  </si>
  <si>
    <t xml:space="preserve">Diagnósticos gratuitos que não converteram, rateados por assinante pago.</t>
  </si>
  <si>
    <t xml:space="preserve">MARGEM DE CONTRIBUIÇÃO</t>
  </si>
  <si>
    <t xml:space="preserve">O que sobra de cada assinante para pagar custos fixos, marketing e lucro.</t>
  </si>
  <si>
    <t xml:space="preserve">Margem de contribuição (%)</t>
  </si>
  <si>
    <t xml:space="preserve">Saudável em SaaS: acima de 70%. Abaixo de 50% acende alerta.</t>
  </si>
  <si>
    <t xml:space="preserve">VALOR DO CLIENTE E RETORNO DA AQUISIÇÃO</t>
  </si>
  <si>
    <t xml:space="preserve">1 ÷ churn mensal.</t>
  </si>
  <si>
    <t xml:space="preserve">LTV — valor total gerado por assinante (R$)</t>
  </si>
  <si>
    <t xml:space="preserve">Margem de contribuição × vida média.</t>
  </si>
  <si>
    <t xml:space="preserve">CAC — custo de aquisição (R$)</t>
  </si>
  <si>
    <t xml:space="preserve">Relação LTV / CAC</t>
  </si>
  <si>
    <t xml:space="preserve">Referência do setor: abaixo de 1,0x o negócio perde dinheiro a cada cliente; 3,0x ou mais é saudável.</t>
  </si>
  <si>
    <t xml:space="preserve">Payback do CAC (meses)</t>
  </si>
  <si>
    <t xml:space="preserve">Quantos meses o assinante leva para pagar o custo de tê-lo conquistado. Acima de 12 é arriscado com churn alto.</t>
  </si>
  <si>
    <t xml:space="preserve">DIAGNÓSTICO AUTOMÁTICO</t>
  </si>
  <si>
    <t xml:space="preserve">Situação da relação LTV/CAC</t>
  </si>
  <si>
    <t xml:space="preserve">Receita necessária por assinante para LTV/CAC = 3,0x</t>
  </si>
  <si>
    <t xml:space="preserve">Preço médio que tornaria a aquisição paga sustentável, mantendo churn e custos atuais.</t>
  </si>
  <si>
    <t xml:space="preserve">Projeção de 24 Meses — Três Cenários</t>
  </si>
  <si>
    <t xml:space="preserve">Edite apenas 'Novos assinantes no mês 1' e 'Crescimento mensal' de cada cenário. O resto recalcula.</t>
  </si>
  <si>
    <t xml:space="preserve">CENÁRIO CONSERVADOR</t>
  </si>
  <si>
    <t xml:space="preserve">Novos assinantes no mês 1</t>
  </si>
  <si>
    <t xml:space="preserve">Crescimento mensal de novos assinantes</t>
  </si>
  <si>
    <t xml:space="preserve">Mês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</si>
  <si>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</si>
  <si>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</si>
  <si>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</si>
  <si>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</si>
  <si>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</si>
  <si>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</si>
  <si>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</si>
  <si>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</si>
  <si>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</si>
  <si>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</si>
  <si>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</si>
  <si>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</si>
  <si>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</si>
  <si>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</si>
  <si>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</si>
  <si>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</si>
  <si>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</si>
  <si>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</si>
  <si>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</si>
  <si>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</si>
  <si>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</si>
  <si>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</si>
  <si>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</si>
  <si>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</si>
  <si>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Novos assinantes</t>
  </si>
  <si>
    <t xml:space="preserve">Base no início do mês</t>
  </si>
  <si>
    <t xml:space="preserve">Cancelamentos</t>
  </si>
  <si>
    <t xml:space="preserve">Base no fim do mês</t>
  </si>
  <si>
    <t xml:space="preserve">Base média do mês</t>
  </si>
  <si>
    <t xml:space="preserve">Receita bruta</t>
  </si>
  <si>
    <t xml:space="preserve">(-) Custos variáveis (impostos, taxas, IA, funil)</t>
  </si>
  <si>
    <t xml:space="preserve">Margem de contribuição</t>
  </si>
  <si>
    <t xml:space="preserve">(-) Custos fixos</t>
  </si>
  <si>
    <t xml:space="preserve">(-) Marketing (novos × % canal pago × CAC)</t>
  </si>
  <si>
    <t xml:space="preserve">Resultado do mês</t>
  </si>
  <si>
    <t xml:space="preserve">Caixa acumulado</t>
  </si>
  <si>
    <t xml:space="preserve">CENÁRIO REALISTA</t>
  </si>
  <si>
    <t xml:space="preserve">CENÁRIO OTIMISTA</t>
  </si>
  <si>
    <t xml:space="preserve">RESUMO COMPARATIVO</t>
  </si>
  <si>
    <t xml:space="preserve">Indicador</t>
  </si>
  <si>
    <t xml:space="preserve">Conservador</t>
  </si>
  <si>
    <t xml:space="preserve">Realista</t>
  </si>
  <si>
    <t xml:space="preserve">Otimista</t>
  </si>
  <si>
    <t xml:space="preserve">Assinantes no mês 12</t>
  </si>
  <si>
    <t xml:space="preserve">Assinantes no mês 24</t>
  </si>
  <si>
    <t xml:space="preserve">Receita mensal no mês 12</t>
  </si>
  <si>
    <t xml:space="preserve">Receita mensal no mês 24</t>
  </si>
  <si>
    <t xml:space="preserve">Resultado do mês 12</t>
  </si>
  <si>
    <t xml:space="preserve">Resultado do mês 24</t>
  </si>
  <si>
    <t xml:space="preserve">Caixa acumulado em 24 meses</t>
  </si>
  <si>
    <t xml:space="preserve">Marketing é calculado como novos assinantes × CAC. Se você conquistar assinantes por canal orgânico, parcerias ou white label, essa linha cai e o resultado melhora proporcionalmente.</t>
  </si>
  <si>
    <t xml:space="preserve">Ponto de Equilíbrio e Retorno do Investimento</t>
  </si>
  <si>
    <t xml:space="preserve">Quantos assinantes pagam a conta, e em quanto tempo o dinheiro investido volta.</t>
  </si>
  <si>
    <t xml:space="preserve">Leitura</t>
  </si>
  <si>
    <t xml:space="preserve">PONTO DE EQUILÍBRIO OPERACIONAL (sem marketing)</t>
  </si>
  <si>
    <t xml:space="preserve">Margem de contribuição média por assinante (R$/mês)</t>
  </si>
  <si>
    <t xml:space="preserve">Vem da aba Unit Economics.</t>
  </si>
  <si>
    <t xml:space="preserve">Custo fixo mensal na faixa inicial (até 500 assinantes)</t>
  </si>
  <si>
    <t xml:space="preserve">Assinantes necessários para cobrir os custos fixos</t>
  </si>
  <si>
    <t xml:space="preserve">Este é o número mágico: a partir daqui o sistema se paga sozinho, sem contar marketing.</t>
  </si>
  <si>
    <t xml:space="preserve">Receita mensal nesse ponto</t>
  </si>
  <si>
    <t xml:space="preserve">PONTO DE EQUILÍBRIO COM MARKETING ATIVO</t>
  </si>
  <si>
    <t xml:space="preserve">Orçamento mensal de marketing (R$)</t>
  </si>
  <si>
    <t xml:space="preserve">Edite conforme o plano de aquisição.</t>
  </si>
  <si>
    <t xml:space="preserve">Assinantes necessários para cobrir custos fixos + marketing</t>
  </si>
  <si>
    <t xml:space="preserve">Com marketing ligado, a barra sobe muito. Por isso marketing só entra depois do produto pronto e do canal validado.</t>
  </si>
  <si>
    <t xml:space="preserve">RETORNO DO INVESTIMENTO</t>
  </si>
  <si>
    <t xml:space="preserve">Investimento inicial (desembolso pré-lançamento)</t>
  </si>
  <si>
    <t xml:space="preserve">Resultado mensal no cenário realista, mês 24</t>
  </si>
  <si>
    <t xml:space="preserve">Caixa acumulado do cenário realista em 24 meses</t>
  </si>
  <si>
    <t xml:space="preserve">O investimento se paga em 24 meses?</t>
  </si>
  <si>
    <t xml:space="preserve">Compara o caixa gerado com o desembolso inicial. Não inclui o valor do seu trabalho de desenvolvimento.</t>
  </si>
  <si>
    <t xml:space="preserve">TESTE DE SENSIBILIDADE — o que mais muda o resultado</t>
  </si>
  <si>
    <t xml:space="preserve">Variável</t>
  </si>
  <si>
    <t xml:space="preserve">Impacto na margem por assinante</t>
  </si>
  <si>
    <t xml:space="preserve">Comentário</t>
  </si>
  <si>
    <t xml:space="preserve">Reduzir o custo de IA em 50% (cache agressivo, conteúdo pré-gerado)</t>
  </si>
  <si>
    <t xml:space="preserve">Ganho direto por assinante, todo mês. É a alavanca mais controlável.</t>
  </si>
  <si>
    <t xml:space="preserve">Cobrar 100% pela web, eliminando a comissão das lojas</t>
  </si>
  <si>
    <t xml:space="preserve">Ganho por assinante. Exige levar o usuário ao site para assinar.</t>
  </si>
  <si>
    <t xml:space="preserve">Reduzir o churn de 7% para 5%</t>
  </si>
  <si>
    <t xml:space="preserve">Ganho de LTV por assinante (valor total, não mensal). O maior salto de todos.</t>
  </si>
  <si>
    <t xml:space="preserve">METAS PARA O MODELO FECHAR (LTV/CAC = 3,0x)</t>
  </si>
  <si>
    <t xml:space="preserve">CAC máximo aceitável com a margem atual (R$)</t>
  </si>
  <si>
    <t xml:space="preserve">Acima disso, cada assinante conquistado por mídia paga destrói caixa.</t>
  </si>
  <si>
    <t xml:space="preserve">Churn máximo aceitável com a margem e o CAC atuais</t>
  </si>
  <si>
    <t xml:space="preserve">Se o churn real ficar acima disso, nenhuma otimização de custo salva a aquisição paga.</t>
  </si>
  <si>
    <t xml:space="preserve">Margem por assinante necessária (R$/mês)</t>
  </si>
  <si>
    <t xml:space="preserve">Compare com a margem atual e com o ARPU. Se for maior que o ARPU, o preço atual não comporta mídia paga.</t>
  </si>
  <si>
    <t xml:space="preserve">Margem atual por assinante (R$/mês)</t>
  </si>
  <si>
    <t xml:space="preserve">Veredito</t>
  </si>
  <si>
    <t xml:space="preserve">Fontes dos Números de Mercado</t>
  </si>
  <si>
    <t xml:space="preserve">Consultadas em 27 de julho de 2026.</t>
  </si>
  <si>
    <t xml:space="preserve">Valor usado</t>
  </si>
  <si>
    <t xml:space="preserve">Fonte</t>
  </si>
  <si>
    <t xml:space="preserve">Câmbio USD/BRL</t>
  </si>
  <si>
    <t xml:space="preserve">R$ 5,08</t>
  </si>
  <si>
    <t xml:space="preserve">Investing.com — cotação USD/BRL em 27/07/2026</t>
  </si>
  <si>
    <t xml:space="preserve">Supabase Pro</t>
  </si>
  <si>
    <t xml:space="preserve">US$ 25/mês</t>
  </si>
  <si>
    <t xml:space="preserve">Documentação de preços do Supabase; inclui US$ 10 de crédito de compute (instância Micro)</t>
  </si>
  <si>
    <t xml:space="preserve">Supabase Team</t>
  </si>
  <si>
    <t xml:space="preserve">US$ 599/mês</t>
  </si>
  <si>
    <t xml:space="preserve">Plano Team do Supabase, para a faixa acima de 10 mil assinantes</t>
  </si>
  <si>
    <t xml:space="preserve">Vercel Pro</t>
  </si>
  <si>
    <t xml:space="preserve">US$ 20/assento/mês</t>
  </si>
  <si>
    <t xml:space="preserve">Preços da Vercel; inclui 1 TB de transferência, excedente a US$ 0,15/GB</t>
  </si>
  <si>
    <t xml:space="preserve">Apple Developer Program</t>
  </si>
  <si>
    <t xml:space="preserve">US$ 99/ano</t>
  </si>
  <si>
    <t xml:space="preserve">developer.apple.com/programs — renovação anual</t>
  </si>
  <si>
    <t xml:space="preserve">Google Play Console</t>
  </si>
  <si>
    <t xml:space="preserve">US$ 25 (único)</t>
  </si>
  <si>
    <t xml:space="preserve">support.google.com — taxa única de registro, sem renovação</t>
  </si>
  <si>
    <t xml:space="preserve">Comissão das lojas de app</t>
  </si>
  <si>
    <t xml:space="preserve">15%</t>
  </si>
  <si>
    <t xml:space="preserve">Apple e Google Small Business Program, para faturamento abaixo de US$ 1 mi/ano</t>
  </si>
  <si>
    <t xml:space="preserve">Gateway de pagamento</t>
  </si>
  <si>
    <t xml:space="preserve">3,99% + 0,4%</t>
  </si>
  <si>
    <t xml:space="preserve">Stripe Brasil — transação nacional + adicional de assinatura recorrente</t>
  </si>
  <si>
    <t xml:space="preserve">Claude Haiku 4.5 (modelo econômico)</t>
  </si>
  <si>
    <t xml:space="preserve">US$ 1 / US$ 5 por 1M tokens</t>
  </si>
  <si>
    <t xml:space="preserve">Tabela de preços da API da Anthropic, julho/2026</t>
  </si>
  <si>
    <t xml:space="preserve">Claude Sonnet (modelo avançado)</t>
  </si>
  <si>
    <t xml:space="preserve">US$ 3 / US$ 15 por 1M tokens</t>
  </si>
  <si>
    <t xml:space="preserve">Cache de prompt</t>
  </si>
  <si>
    <t xml:space="preserve">até 90% de economia na entrada</t>
  </si>
  <si>
    <t xml:space="preserve">Documentação da Anthropic sobre prompt caching</t>
  </si>
  <si>
    <t xml:space="preserve">Custo de desenvolvimento no Brasil</t>
  </si>
  <si>
    <t xml:space="preserve">R$ 60 mil a R$ 300 mil+</t>
  </si>
  <si>
    <t xml:space="preserve">Levantamento de software houses brasileiras, 2026 (MVP enxuto a produto completo)</t>
  </si>
  <si>
    <t xml:space="preserve">Simples Nacional — Anexo III</t>
  </si>
  <si>
    <t xml:space="preserve">6% na 1ª faixa</t>
  </si>
  <si>
    <t xml:space="preserve">Legislação do Simples Nacional. Confirme o enquadramento com seu contador</t>
  </si>
  <si>
    <t xml:space="preserve">Preços de nuvem e de API mudam com frequência. Reconfirme antes de usar este modelo em qualquer apresentação externa.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</si>
</sst>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%"/>
    <numFmt numFmtId="167" formatCode="&quot;R$ &quot;#,##0.00;&quot;(R$ &quot;#,##0.00\);\-"/>
    <numFmt numFmtId="168" formatCode="#,##0;\(#,##0\);\-"/>
    <numFmt numFmtId="169" formatCode="&quot;US$ &quot;#,##0.00;&quot;(US$ &quot;#,##0.00\);\-"/>
    <numFmt numFmtId="170" formatCode="#,##0.0"/>
    <numFmt numFmtId="171" formatCode="&quot;R$ &quot;#,##0;&quot;(R$ &quot;#,##0\);\-"/>
    <numFmt numFmtId="172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55B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2355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55B"/>
        <bgColor rgb="FF333333"/>
      </patternFill>
    </fill>
    <fill>
      <patternFill patternType="solid">
        <fgColor rgb="FFFFFFCC"/>
        <bgColor rgb="FFFFFFFF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7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235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</row>
    <row r="5" customFormat="false" ht="25.5" hidden="false" customHeight="true" outlineLevel="0" collapsed="false">
      <c r="A5" s="5" t="s">
        <v>3</v>
      </c>
      <c r="B5" s="6" t="s">
        <v>4</v>
      </c>
    </row>
    <row r="6" customFormat="false" ht="25.5" hidden="false" customHeight="true" outlineLevel="0" collapsed="false">
      <c r="A6" s="5" t="s">
        <v>5</v>
      </c>
      <c r="B6" s="6" t="s">
        <v>6</v>
      </c>
    </row>
    <row r="7" customFormat="false" ht="25.5" hidden="false" customHeight="true" outlineLevel="0" collapsed="false">
      <c r="A7" s="5" t="s">
        <v>7</v>
      </c>
      <c r="B7" s="6" t="s">
        <v>8</v>
      </c>
    </row>
    <row r="9" customFormat="false" ht="15" hidden="false" customHeight="false" outlineLevel="0" collapsed="false">
      <c r="A9" s="3" t="s">
        <v>9</v>
      </c>
      <c r="B9" s="4"/>
      <c r="C9" s="4"/>
      <c r="D9" s="4"/>
      <c r="E9" s="4"/>
      <c r="F9" s="4"/>
      <c r="G9" s="4"/>
      <c r="H9" s="4"/>
    </row>
    <row r="10" customFormat="false" ht="25.5" hidden="false" customHeight="true" outlineLevel="0" collapsed="false">
      <c r="A10" s="5" t="s">
        <v>10</v>
      </c>
      <c r="B10" s="6" t="s">
        <v>11</v>
      </c>
    </row>
    <row r="11" customFormat="false" ht="25.5" hidden="false" customHeight="true" outlineLevel="0" collapsed="false">
      <c r="A11" s="5" t="s">
        <v>12</v>
      </c>
      <c r="B11" s="6" t="s">
        <v>13</v>
      </c>
    </row>
    <row r="12" customFormat="false" ht="25.5" hidden="false" customHeight="true" outlineLevel="0" collapsed="false">
      <c r="A12" s="5" t="s">
        <v>14</v>
      </c>
      <c r="B12" s="6" t="s">
        <v>15</v>
      </c>
    </row>
    <row r="13" customFormat="false" ht="25.5" hidden="false" customHeight="true" outlineLevel="0" collapsed="false">
      <c r="A13" s="5" t="s">
        <v>16</v>
      </c>
      <c r="B13" s="6" t="s">
        <v>17</v>
      </c>
    </row>
    <row r="14" customFormat="false" ht="25.5" hidden="false" customHeight="true" outlineLevel="0" collapsed="false">
      <c r="A14" s="5" t="s">
        <v>18</v>
      </c>
      <c r="B14" s="6" t="s">
        <v>19</v>
      </c>
    </row>
    <row r="15" customFormat="false" ht="25.5" hidden="false" customHeight="true" outlineLevel="0" collapsed="false">
      <c r="A15" s="5" t="s">
        <v>20</v>
      </c>
      <c r="B15" s="6" t="s">
        <v>21</v>
      </c>
    </row>
    <row r="16" customFormat="false" ht="25.5" hidden="false" customHeight="true" outlineLevel="0" collapsed="false">
      <c r="A16" s="5" t="s">
        <v>22</v>
      </c>
      <c r="B16" s="6" t="s">
        <v>23</v>
      </c>
    </row>
    <row r="18" customFormat="false" ht="15" hidden="false" customHeight="false" outlineLevel="0" collapsed="false">
      <c r="A18" s="3" t="s">
        <v>24</v>
      </c>
      <c r="B18" s="4"/>
      <c r="C18" s="4"/>
      <c r="D18" s="4"/>
      <c r="E18" s="4"/>
      <c r="F18" s="4"/>
      <c r="G18" s="4"/>
      <c r="H18" s="4"/>
    </row>
    <row r="19" customFormat="false" ht="25.5" hidden="false" customHeight="true" outlineLevel="0" collapsed="false">
      <c r="A19" s="5" t="s">
        <v>25</v>
      </c>
      <c r="B19" s="6" t="s">
        <v>26</v>
      </c>
    </row>
    <row r="20" customFormat="false" ht="25.5" hidden="false" customHeight="true" outlineLevel="0" collapsed="false">
      <c r="A20" s="5" t="s">
        <v>27</v>
      </c>
      <c r="B20" s="6" t="s">
        <v>28</v>
      </c>
    </row>
    <row r="21" customFormat="false" ht="25.5" hidden="false" customHeight="true" outlineLevel="0" collapsed="false">
      <c r="A21" s="5" t="s">
        <v>29</v>
      </c>
      <c r="B21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24" hidden="false" customHeight="tru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4" hidden="false" customHeight="true" outlineLevel="0" collapsed="false">
      <c r="A4" s="7" t="s">
        <v>33</v>
      </c>
      <c r="B4" s="7" t="s">
        <v>34</v>
      </c>
      <c r="C4" s="8" t="s">
        <v>35</v>
      </c>
    </row>
    <row r="5" customFormat="false" ht="24" hidden="false" customHeight="true" outlineLevel="0" collapsed="false">
      <c r="A5" s="3" t="s">
        <v>36</v>
      </c>
      <c r="B5" s="4"/>
      <c r="C5" s="9"/>
      <c r="D5" s="4"/>
      <c r="E5" s="4"/>
      <c r="F5" s="4"/>
      <c r="G5" s="4"/>
      <c r="H5" s="4"/>
    </row>
    <row r="6" customFormat="false" ht="24" hidden="false" customHeight="true" outlineLevel="0" collapsed="false">
      <c r="A6" s="10" t="s">
        <v>37</v>
      </c>
      <c r="B6" s="11" t="n">
        <v>5.08</v>
      </c>
      <c r="C6" s="12" t="s">
        <v>38</v>
      </c>
    </row>
    <row r="7" customFormat="false" ht="24" hidden="false" customHeight="true" outlineLevel="0" collapsed="false">
      <c r="A7" s="10" t="s">
        <v>39</v>
      </c>
      <c r="B7" s="13" t="n">
        <v>0.06</v>
      </c>
      <c r="C7" s="12" t="s">
        <v>40</v>
      </c>
    </row>
    <row r="8" customFormat="false" ht="24" hidden="false" customHeight="true" outlineLevel="0" collapsed="false">
      <c r="A8" s="10" t="s">
        <v>41</v>
      </c>
      <c r="B8" s="13" t="n">
        <v>0.044</v>
      </c>
      <c r="C8" s="12" t="s">
        <v>42</v>
      </c>
    </row>
    <row r="9" customFormat="false" ht="24" hidden="false" customHeight="true" outlineLevel="0" collapsed="false">
      <c r="A9" s="10" t="s">
        <v>43</v>
      </c>
      <c r="B9" s="13" t="n">
        <v>0.15</v>
      </c>
      <c r="C9" s="12" t="s">
        <v>44</v>
      </c>
    </row>
    <row r="10" customFormat="false" ht="24" hidden="false" customHeight="true" outlineLevel="0" collapsed="false">
      <c r="A10" s="10" t="s">
        <v>45</v>
      </c>
      <c r="B10" s="13" t="n">
        <v>0.3</v>
      </c>
      <c r="C10" s="12" t="s">
        <v>46</v>
      </c>
    </row>
    <row r="11" customFormat="false" ht="24" hidden="false" customHeight="true" outlineLevel="0" collapsed="false">
      <c r="C11" s="14"/>
    </row>
    <row r="12" customFormat="false" ht="24" hidden="false" customHeight="true" outlineLevel="0" collapsed="false">
      <c r="A12" s="3" t="s">
        <v>47</v>
      </c>
      <c r="B12" s="4"/>
      <c r="C12" s="9"/>
      <c r="D12" s="4"/>
      <c r="E12" s="4"/>
      <c r="F12" s="4"/>
      <c r="G12" s="4"/>
      <c r="H12" s="4"/>
    </row>
    <row r="13" customFormat="false" ht="24" hidden="false" customHeight="true" outlineLevel="0" collapsed="false">
      <c r="A13" s="10" t="s">
        <v>48</v>
      </c>
      <c r="B13" s="15" t="n">
        <v>19.9</v>
      </c>
      <c r="C13" s="12" t="s">
        <v>49</v>
      </c>
    </row>
    <row r="14" customFormat="false" ht="24" hidden="false" customHeight="true" outlineLevel="0" collapsed="false">
      <c r="A14" s="10" t="s">
        <v>50</v>
      </c>
      <c r="B14" s="15" t="n">
        <v>29.9</v>
      </c>
      <c r="C14" s="12" t="s">
        <v>49</v>
      </c>
    </row>
    <row r="15" customFormat="false" ht="24" hidden="false" customHeight="true" outlineLevel="0" collapsed="false">
      <c r="A15" s="10" t="s">
        <v>51</v>
      </c>
      <c r="B15" s="13" t="n">
        <v>0.7</v>
      </c>
      <c r="C15" s="12" t="s">
        <v>52</v>
      </c>
    </row>
    <row r="16" customFormat="false" ht="24" hidden="false" customHeight="true" outlineLevel="0" collapsed="false">
      <c r="A16" s="10" t="s">
        <v>53</v>
      </c>
      <c r="B16" s="16" t="n">
        <f aca="false">B15*B13+(1-B15)*B14</f>
        <v>22.9</v>
      </c>
      <c r="C16" s="12" t="s">
        <v>54</v>
      </c>
    </row>
    <row r="17" customFormat="false" ht="24" hidden="false" customHeight="true" outlineLevel="0" collapsed="false">
      <c r="C17" s="14"/>
    </row>
    <row r="18" customFormat="false" ht="24" hidden="false" customHeight="true" outlineLevel="0" collapsed="false">
      <c r="A18" s="3" t="s">
        <v>55</v>
      </c>
      <c r="B18" s="4"/>
      <c r="C18" s="9"/>
      <c r="D18" s="4"/>
      <c r="E18" s="4"/>
      <c r="F18" s="4"/>
      <c r="G18" s="4"/>
      <c r="H18" s="4"/>
    </row>
    <row r="19" customFormat="false" ht="24" hidden="false" customHeight="true" outlineLevel="0" collapsed="false">
      <c r="A19" s="10" t="s">
        <v>56</v>
      </c>
      <c r="B19" s="17" t="n">
        <v>60</v>
      </c>
      <c r="C19" s="12" t="s">
        <v>57</v>
      </c>
    </row>
    <row r="20" customFormat="false" ht="24" hidden="false" customHeight="true" outlineLevel="0" collapsed="false">
      <c r="A20" s="10" t="s">
        <v>58</v>
      </c>
      <c r="B20" s="17" t="n">
        <v>8000</v>
      </c>
      <c r="C20" s="12" t="s">
        <v>59</v>
      </c>
    </row>
    <row r="21" customFormat="false" ht="24" hidden="false" customHeight="true" outlineLevel="0" collapsed="false">
      <c r="A21" s="10" t="s">
        <v>60</v>
      </c>
      <c r="B21" s="17" t="n">
        <v>1200</v>
      </c>
      <c r="C21" s="12" t="s">
        <v>61</v>
      </c>
    </row>
    <row r="22" customFormat="false" ht="24" hidden="false" customHeight="true" outlineLevel="0" collapsed="false">
      <c r="A22" s="10" t="s">
        <v>62</v>
      </c>
      <c r="B22" s="13" t="n">
        <v>0.7</v>
      </c>
      <c r="C22" s="12" t="s">
        <v>63</v>
      </c>
    </row>
    <row r="23" customFormat="false" ht="24" hidden="false" customHeight="true" outlineLevel="0" collapsed="false">
      <c r="A23" s="10" t="s">
        <v>64</v>
      </c>
      <c r="B23" s="18" t="n">
        <v>1</v>
      </c>
      <c r="C23" s="12" t="s">
        <v>65</v>
      </c>
    </row>
    <row r="24" customFormat="false" ht="24" hidden="false" customHeight="true" outlineLevel="0" collapsed="false">
      <c r="A24" s="10" t="s">
        <v>66</v>
      </c>
      <c r="B24" s="18" t="n">
        <v>5</v>
      </c>
      <c r="C24" s="12" t="s">
        <v>65</v>
      </c>
    </row>
    <row r="25" customFormat="false" ht="24" hidden="false" customHeight="true" outlineLevel="0" collapsed="false">
      <c r="A25" s="10" t="s">
        <v>67</v>
      </c>
      <c r="B25" s="18" t="n">
        <v>3</v>
      </c>
      <c r="C25" s="12" t="s">
        <v>68</v>
      </c>
    </row>
    <row r="26" customFormat="false" ht="24" hidden="false" customHeight="true" outlineLevel="0" collapsed="false">
      <c r="A26" s="10" t="s">
        <v>69</v>
      </c>
      <c r="B26" s="18" t="n">
        <v>15</v>
      </c>
      <c r="C26" s="12" t="s">
        <v>68</v>
      </c>
    </row>
    <row r="27" customFormat="false" ht="24" hidden="false" customHeight="true" outlineLevel="0" collapsed="false">
      <c r="A27" s="10" t="s">
        <v>70</v>
      </c>
      <c r="B27" s="13" t="n">
        <v>0.35</v>
      </c>
      <c r="C27" s="12" t="s">
        <v>71</v>
      </c>
    </row>
    <row r="28" customFormat="false" ht="24" hidden="false" customHeight="true" outlineLevel="0" collapsed="false">
      <c r="A28" s="10" t="s">
        <v>72</v>
      </c>
      <c r="B28" s="16" t="n">
        <f aca="false">((B19*B20/1000000)*(B22*B23+(1-B22)*B25)*(1-B27)+(B19*B21/1000000)*(B22*B24+(1-B22)*B26))*B6</f>
        <v>5.462016</v>
      </c>
      <c r="C28" s="12" t="s">
        <v>73</v>
      </c>
    </row>
    <row r="29" customFormat="false" ht="24" hidden="false" customHeight="true" outlineLevel="0" collapsed="false">
      <c r="A29" s="10" t="s">
        <v>74</v>
      </c>
      <c r="B29" s="11" t="n">
        <v>1.7</v>
      </c>
      <c r="C29" s="12" t="s">
        <v>75</v>
      </c>
    </row>
    <row r="30" customFormat="false" ht="24" hidden="false" customHeight="true" outlineLevel="0" collapsed="false">
      <c r="A30" s="10" t="s">
        <v>76</v>
      </c>
      <c r="B30" s="16" t="n">
        <f aca="false">B28*B29</f>
        <v>9.2854272</v>
      </c>
      <c r="C30" s="12" t="s">
        <v>54</v>
      </c>
    </row>
    <row r="31" customFormat="false" ht="24" hidden="false" customHeight="true" outlineLevel="0" collapsed="false">
      <c r="C31" s="14"/>
    </row>
    <row r="32" customFormat="false" ht="24" hidden="false" customHeight="true" outlineLevel="0" collapsed="false">
      <c r="A32" s="3" t="s">
        <v>77</v>
      </c>
      <c r="B32" s="4"/>
      <c r="C32" s="9"/>
      <c r="D32" s="4"/>
      <c r="E32" s="4"/>
      <c r="F32" s="4"/>
      <c r="G32" s="4"/>
      <c r="H32" s="4"/>
    </row>
    <row r="33" customFormat="false" ht="24" hidden="false" customHeight="true" outlineLevel="0" collapsed="false">
      <c r="A33" s="10" t="s">
        <v>78</v>
      </c>
      <c r="B33" s="17" t="n">
        <v>12</v>
      </c>
      <c r="C33" s="12" t="s">
        <v>79</v>
      </c>
    </row>
    <row r="34" customFormat="false" ht="24" hidden="false" customHeight="true" outlineLevel="0" collapsed="false">
      <c r="A34" s="10" t="s">
        <v>80</v>
      </c>
      <c r="B34" s="15" t="n">
        <v>0.18</v>
      </c>
      <c r="C34" s="12" t="s">
        <v>81</v>
      </c>
    </row>
    <row r="35" customFormat="false" ht="24" hidden="false" customHeight="true" outlineLevel="0" collapsed="false">
      <c r="A35" s="10" t="s">
        <v>82</v>
      </c>
      <c r="B35" s="16" t="n">
        <f aca="false">B33*B34</f>
        <v>2.16</v>
      </c>
      <c r="C35" s="12" t="s">
        <v>54</v>
      </c>
    </row>
    <row r="36" customFormat="false" ht="24" hidden="false" customHeight="true" outlineLevel="0" collapsed="false">
      <c r="A36" s="10" t="s">
        <v>83</v>
      </c>
      <c r="B36" s="15" t="n">
        <v>120</v>
      </c>
      <c r="C36" s="12" t="s">
        <v>84</v>
      </c>
    </row>
    <row r="37" customFormat="false" ht="24" hidden="false" customHeight="true" outlineLevel="0" collapsed="false">
      <c r="A37" s="10" t="s">
        <v>85</v>
      </c>
      <c r="B37" s="13" t="n">
        <v>0.5</v>
      </c>
      <c r="C37" s="12" t="s">
        <v>86</v>
      </c>
    </row>
    <row r="38" customFormat="false" ht="24" hidden="false" customHeight="true" outlineLevel="0" collapsed="false">
      <c r="A38" s="10" t="s">
        <v>87</v>
      </c>
      <c r="B38" s="13" t="n">
        <v>0.07</v>
      </c>
      <c r="C38" s="12" t="s">
        <v>88</v>
      </c>
    </row>
    <row r="39" customFormat="false" ht="24" hidden="false" customHeight="true" outlineLevel="0" collapsed="false">
      <c r="A39" s="10" t="s">
        <v>89</v>
      </c>
      <c r="B39" s="19" t="n">
        <f aca="false">IF(B38=0,0,1/B38)</f>
        <v>14.2857142857143</v>
      </c>
      <c r="C39" s="1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12</v>
      </c>
    </row>
    <row r="2" customFormat="false" ht="15" hidden="false" customHeight="false" outlineLevel="0" collapsed="false">
      <c r="A2" s="2" t="s">
        <v>91</v>
      </c>
    </row>
    <row r="4" customFormat="false" ht="27.75" hidden="false" customHeight="true" outlineLevel="0" collapsed="false">
      <c r="A4" s="7" t="s">
        <v>92</v>
      </c>
      <c r="B4" s="7" t="s">
        <v>93</v>
      </c>
      <c r="C4" s="7" t="s">
        <v>94</v>
      </c>
    </row>
    <row r="5" customFormat="false" ht="15" hidden="false" customHeight="false" outlineLevel="0" collapsed="false">
      <c r="A5" s="3" t="s">
        <v>95</v>
      </c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10" t="s">
        <v>96</v>
      </c>
      <c r="B6" s="20" t="n">
        <v>1500</v>
      </c>
      <c r="C6" s="12" t="s">
        <v>97</v>
      </c>
    </row>
    <row r="7" customFormat="false" ht="21.75" hidden="false" customHeight="true" outlineLevel="0" collapsed="false">
      <c r="A7" s="10" t="s">
        <v>98</v>
      </c>
      <c r="B7" s="20" t="n">
        <v>150</v>
      </c>
      <c r="C7" s="12" t="s">
        <v>99</v>
      </c>
    </row>
    <row r="8" customFormat="false" ht="21.75" hidden="false" customHeight="true" outlineLevel="0" collapsed="false">
      <c r="A8" s="10" t="s">
        <v>100</v>
      </c>
      <c r="B8" s="20" t="n">
        <v>878</v>
      </c>
      <c r="C8" s="12" t="s">
        <v>101</v>
      </c>
    </row>
    <row r="9" customFormat="false" ht="21.75" hidden="false" customHeight="true" outlineLevel="0" collapsed="false">
      <c r="A9" s="10" t="s">
        <v>102</v>
      </c>
      <c r="B9" s="20" t="n">
        <v>503</v>
      </c>
      <c r="C9" s="12" t="s">
        <v>103</v>
      </c>
    </row>
    <row r="10" customFormat="false" ht="21.75" hidden="false" customHeight="true" outlineLevel="0" collapsed="false">
      <c r="A10" s="10" t="s">
        <v>104</v>
      </c>
      <c r="B10" s="20" t="n">
        <v>127</v>
      </c>
      <c r="C10" s="12" t="s">
        <v>105</v>
      </c>
    </row>
    <row r="11" customFormat="false" ht="21.75" hidden="false" customHeight="true" outlineLevel="0" collapsed="false">
      <c r="A11" s="10" t="s">
        <v>106</v>
      </c>
      <c r="B11" s="20" t="n">
        <v>1800</v>
      </c>
      <c r="C11" s="12" t="s">
        <v>107</v>
      </c>
    </row>
    <row r="12" customFormat="false" ht="21.75" hidden="false" customHeight="true" outlineLevel="0" collapsed="false">
      <c r="A12" s="10" t="s">
        <v>108</v>
      </c>
      <c r="B12" s="20" t="n">
        <v>5000</v>
      </c>
      <c r="C12" s="12" t="s">
        <v>109</v>
      </c>
    </row>
    <row r="13" customFormat="false" ht="21.75" hidden="false" customHeight="true" outlineLevel="0" collapsed="false">
      <c r="A13" s="10" t="s">
        <v>110</v>
      </c>
      <c r="B13" s="20" t="n">
        <v>2500</v>
      </c>
      <c r="C13" s="12" t="s">
        <v>111</v>
      </c>
    </row>
    <row r="14" customFormat="false" ht="21.75" hidden="false" customHeight="true" outlineLevel="0" collapsed="false">
      <c r="A14" s="10" t="s">
        <v>112</v>
      </c>
      <c r="B14" s="20" t="n">
        <v>1200</v>
      </c>
      <c r="C14" s="12" t="s">
        <v>113</v>
      </c>
    </row>
    <row r="15" customFormat="false" ht="21.75" hidden="false" customHeight="true" outlineLevel="0" collapsed="false">
      <c r="A15" s="10" t="s">
        <v>114</v>
      </c>
      <c r="B15" s="20" t="n">
        <v>3000</v>
      </c>
      <c r="C15" s="12" t="s">
        <v>115</v>
      </c>
    </row>
    <row r="16" customFormat="false" ht="21.75" hidden="false" customHeight="true" outlineLevel="0" collapsed="false">
      <c r="A16" s="10" t="s">
        <v>116</v>
      </c>
      <c r="B16" s="20" t="n">
        <v>2000</v>
      </c>
      <c r="C16" s="12" t="s">
        <v>117</v>
      </c>
    </row>
    <row r="17" customFormat="false" ht="21.75" hidden="false" customHeight="true" outlineLevel="0" collapsed="false">
      <c r="A17" s="10" t="s">
        <v>118</v>
      </c>
      <c r="B17" s="20" t="n">
        <v>12000</v>
      </c>
      <c r="C17" s="12" t="s">
        <v>119</v>
      </c>
    </row>
    <row r="18" customFormat="false" ht="15" hidden="false" customHeight="false" outlineLevel="0" collapsed="false">
      <c r="A18" s="5" t="s">
        <v>120</v>
      </c>
      <c r="B18" s="21" t="n">
        <f aca="false">SUM(B6:B17)</f>
        <v>30658</v>
      </c>
    </row>
    <row r="19" customFormat="false" ht="15" hidden="false" customHeight="false" outlineLevel="0" collapsed="false">
      <c r="A19" s="10" t="s">
        <v>121</v>
      </c>
      <c r="B19" s="22" t="n">
        <f aca="false">B18*0.15</f>
        <v>4598.7</v>
      </c>
    </row>
    <row r="20" customFormat="false" ht="15" hidden="false" customHeight="false" outlineLevel="0" collapsed="false">
      <c r="A20" s="23" t="s">
        <v>122</v>
      </c>
      <c r="B20" s="24" t="n">
        <f aca="false">B18+B19</f>
        <v>35256.7</v>
      </c>
    </row>
    <row r="22" customFormat="false" ht="15" hidden="false" customHeight="false" outlineLevel="0" collapsed="false">
      <c r="A22" s="3" t="s">
        <v>123</v>
      </c>
      <c r="B22" s="4"/>
      <c r="C22" s="4"/>
      <c r="D22" s="4"/>
      <c r="E22" s="4"/>
      <c r="F22" s="4"/>
      <c r="G22" s="4"/>
      <c r="H22" s="4"/>
    </row>
    <row r="23" customFormat="false" ht="27.75" hidden="false" customHeight="true" outlineLevel="0" collapsed="false">
      <c r="A23" s="7" t="s">
        <v>124</v>
      </c>
      <c r="B23" s="7" t="s">
        <v>93</v>
      </c>
      <c r="C23" s="7" t="s">
        <v>125</v>
      </c>
    </row>
    <row r="24" customFormat="false" ht="15" hidden="false" customHeight="false" outlineLevel="0" collapsed="false">
      <c r="A24" s="10" t="s">
        <v>126</v>
      </c>
      <c r="B24" s="20" t="n">
        <v>150000</v>
      </c>
      <c r="C24" s="12" t="s">
        <v>127</v>
      </c>
    </row>
    <row r="25" customFormat="false" ht="15" hidden="false" customHeight="false" outlineLevel="0" collapsed="false">
      <c r="A25" s="10" t="s">
        <v>128</v>
      </c>
      <c r="B25" s="20" t="n">
        <v>220000</v>
      </c>
      <c r="C25" s="12" t="s">
        <v>129</v>
      </c>
    </row>
    <row r="26" customFormat="false" ht="15" hidden="false" customHeight="false" outlineLevel="0" collapsed="false">
      <c r="A26" s="10" t="s">
        <v>130</v>
      </c>
      <c r="B26" s="20" t="n">
        <v>320000</v>
      </c>
      <c r="C26" s="12" t="s">
        <v>131</v>
      </c>
    </row>
    <row r="27" customFormat="false" ht="15" hidden="false" customHeight="false" outlineLevel="0" collapsed="false">
      <c r="A27" s="2" t="s">
        <v>132</v>
      </c>
    </row>
    <row r="29" customFormat="false" ht="15" hidden="false" customHeight="false" outlineLevel="0" collapsed="false">
      <c r="A29" s="3" t="s">
        <v>133</v>
      </c>
      <c r="B29" s="4"/>
      <c r="C29" s="4"/>
      <c r="D29" s="4"/>
      <c r="E29" s="4"/>
      <c r="F29" s="4"/>
      <c r="G29" s="4"/>
      <c r="H29" s="4"/>
    </row>
    <row r="30" customFormat="false" ht="27.75" hidden="false" customHeight="true" outlineLevel="0" collapsed="false">
      <c r="A30" s="7" t="s">
        <v>134</v>
      </c>
      <c r="B30" s="7" t="s">
        <v>93</v>
      </c>
      <c r="C30" s="7" t="s">
        <v>94</v>
      </c>
    </row>
    <row r="31" customFormat="false" ht="15" hidden="false" customHeight="false" outlineLevel="0" collapsed="false">
      <c r="A31" s="10" t="s">
        <v>135</v>
      </c>
      <c r="B31" s="20" t="n">
        <v>5000</v>
      </c>
      <c r="C31" s="12" t="s">
        <v>136</v>
      </c>
    </row>
    <row r="32" customFormat="false" ht="15" hidden="false" customHeight="false" outlineLevel="0" collapsed="false">
      <c r="A32" s="10" t="s">
        <v>137</v>
      </c>
      <c r="B32" s="20" t="n">
        <v>6000</v>
      </c>
      <c r="C32" s="12" t="s">
        <v>138</v>
      </c>
    </row>
    <row r="33" customFormat="false" ht="15" hidden="false" customHeight="false" outlineLevel="0" collapsed="false">
      <c r="A33" s="10" t="s">
        <v>139</v>
      </c>
      <c r="B33" s="20" t="n">
        <v>12000</v>
      </c>
      <c r="C33" s="12" t="s">
        <v>140</v>
      </c>
    </row>
    <row r="34" customFormat="false" ht="15" hidden="false" customHeight="false" outlineLevel="0" collapsed="false">
      <c r="A34" s="5" t="s">
        <v>141</v>
      </c>
      <c r="B34" s="21" t="n">
        <f aca="false">B31+B32*3+B33*9</f>
        <v>131000</v>
      </c>
    </row>
    <row r="36" customFormat="false" ht="15" hidden="false" customHeight="false" outlineLevel="0" collapsed="false">
      <c r="A36" s="3" t="s">
        <v>142</v>
      </c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5" t="s">
        <v>143</v>
      </c>
      <c r="B37" s="21" t="n">
        <f aca="false">B20</f>
        <v>35256.7</v>
      </c>
      <c r="C37" s="2" t="s">
        <v>144</v>
      </c>
    </row>
    <row r="38" customFormat="false" ht="15" hidden="false" customHeight="false" outlineLevel="0" collapsed="false">
      <c r="A38" s="5" t="s">
        <v>145</v>
      </c>
      <c r="B38" s="21" t="n">
        <f aca="false">B20+B34</f>
        <v>166256.7</v>
      </c>
      <c r="C38" s="2" t="s">
        <v>146</v>
      </c>
    </row>
    <row r="39" customFormat="false" ht="15" hidden="false" customHeight="false" outlineLevel="0" collapsed="false">
      <c r="A39" s="5" t="s">
        <v>147</v>
      </c>
      <c r="B39" s="21" t="n">
        <f aca="false">B25</f>
        <v>220000</v>
      </c>
      <c r="C39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27.75" hidden="false" customHeight="true" outlineLevel="0" collapsed="false">
      <c r="A4" s="7" t="s">
        <v>92</v>
      </c>
      <c r="B4" s="7" t="s">
        <v>151</v>
      </c>
      <c r="C4" s="7" t="s">
        <v>152</v>
      </c>
      <c r="D4" s="7" t="s">
        <v>153</v>
      </c>
      <c r="E4" s="7" t="s">
        <v>154</v>
      </c>
      <c r="F4" s="7" t="s">
        <v>94</v>
      </c>
    </row>
    <row r="5" customFormat="false" ht="15" hidden="false" customHeight="false" outlineLevel="0" collapsed="false">
      <c r="A5" s="3" t="s">
        <v>155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10" t="s">
        <v>156</v>
      </c>
      <c r="B6" s="18" t="n">
        <v>25</v>
      </c>
      <c r="C6" s="18" t="n">
        <v>60</v>
      </c>
      <c r="D6" s="18" t="n">
        <v>180</v>
      </c>
      <c r="E6" s="18" t="n">
        <v>599</v>
      </c>
      <c r="F6" s="12" t="s">
        <v>157</v>
      </c>
    </row>
    <row r="7" customFormat="false" ht="24" hidden="false" customHeight="true" outlineLevel="0" collapsed="false">
      <c r="A7" s="10" t="s">
        <v>158</v>
      </c>
      <c r="B7" s="18" t="n">
        <v>20</v>
      </c>
      <c r="C7" s="18" t="n">
        <v>45</v>
      </c>
      <c r="D7" s="18" t="n">
        <v>150</v>
      </c>
      <c r="E7" s="18" t="n">
        <v>500</v>
      </c>
      <c r="F7" s="12" t="s">
        <v>159</v>
      </c>
    </row>
    <row r="8" customFormat="false" ht="24" hidden="false" customHeight="true" outlineLevel="0" collapsed="false">
      <c r="A8" s="10" t="s">
        <v>160</v>
      </c>
      <c r="B8" s="18" t="n">
        <v>0</v>
      </c>
      <c r="C8" s="18" t="n">
        <v>20</v>
      </c>
      <c r="D8" s="18" t="n">
        <v>50</v>
      </c>
      <c r="E8" s="18" t="n">
        <v>100</v>
      </c>
      <c r="F8" s="12" t="s">
        <v>161</v>
      </c>
    </row>
    <row r="9" customFormat="false" ht="24" hidden="false" customHeight="true" outlineLevel="0" collapsed="false">
      <c r="A9" s="10" t="s">
        <v>162</v>
      </c>
      <c r="B9" s="18" t="n">
        <v>14.4</v>
      </c>
      <c r="C9" s="18" t="n">
        <v>21.6</v>
      </c>
      <c r="D9" s="18" t="n">
        <v>36</v>
      </c>
      <c r="E9" s="18" t="n">
        <v>72</v>
      </c>
      <c r="F9" s="12" t="s">
        <v>163</v>
      </c>
    </row>
    <row r="10" customFormat="false" ht="24" hidden="false" customHeight="true" outlineLevel="0" collapsed="false">
      <c r="A10" s="10" t="s">
        <v>164</v>
      </c>
      <c r="B10" s="18" t="n">
        <v>8.25</v>
      </c>
      <c r="C10" s="18" t="n">
        <v>8.25</v>
      </c>
      <c r="D10" s="18" t="n">
        <v>8.25</v>
      </c>
      <c r="E10" s="18" t="n">
        <v>8.25</v>
      </c>
      <c r="F10" s="12" t="s">
        <v>165</v>
      </c>
    </row>
    <row r="11" customFormat="false" ht="24" hidden="false" customHeight="true" outlineLevel="0" collapsed="false">
      <c r="A11" s="10" t="s">
        <v>166</v>
      </c>
      <c r="B11" s="18" t="n">
        <v>0</v>
      </c>
      <c r="C11" s="18" t="n">
        <v>26</v>
      </c>
      <c r="D11" s="18" t="n">
        <v>80</v>
      </c>
      <c r="E11" s="18" t="n">
        <v>200</v>
      </c>
      <c r="F11" s="12" t="s">
        <v>167</v>
      </c>
    </row>
    <row r="12" customFormat="false" ht="24" hidden="false" customHeight="true" outlineLevel="0" collapsed="false">
      <c r="A12" s="10" t="s">
        <v>168</v>
      </c>
      <c r="B12" s="18" t="n">
        <v>0</v>
      </c>
      <c r="C12" s="18" t="n">
        <v>10</v>
      </c>
      <c r="D12" s="18" t="n">
        <v>60</v>
      </c>
      <c r="E12" s="18" t="n">
        <v>250</v>
      </c>
      <c r="F12" s="12" t="s">
        <v>169</v>
      </c>
    </row>
    <row r="13" customFormat="false" ht="15" hidden="false" customHeight="false" outlineLevel="0" collapsed="false">
      <c r="A13" s="5" t="s">
        <v>170</v>
      </c>
      <c r="B13" s="25" t="n">
        <f aca="false">SUM(B6:B12)</f>
        <v>67.65</v>
      </c>
      <c r="C13" s="25" t="n">
        <f aca="false">SUM(C6:C12)</f>
        <v>190.85</v>
      </c>
      <c r="D13" s="25" t="n">
        <f aca="false">SUM(D6:D12)</f>
        <v>564.25</v>
      </c>
      <c r="E13" s="25" t="n">
        <f aca="false">SUM(E6:E12)</f>
        <v>1729.25</v>
      </c>
    </row>
    <row r="14" customFormat="false" ht="15" hidden="false" customHeight="false" outlineLevel="0" collapsed="false">
      <c r="A14" s="5" t="s">
        <v>171</v>
      </c>
      <c r="B14" s="21" t="n">
        <f aca="false">B13*Premissas!$B$6</f>
        <v>343.662</v>
      </c>
      <c r="C14" s="21" t="n">
        <f aca="false">C13*Premissas!$B$6</f>
        <v>969.518</v>
      </c>
      <c r="D14" s="21" t="n">
        <f aca="false">D13*Premissas!$B$6</f>
        <v>2866.39</v>
      </c>
      <c r="E14" s="21" t="n">
        <f aca="false">E13*Premissas!$B$6</f>
        <v>8784.59</v>
      </c>
    </row>
    <row r="16" customFormat="false" ht="15" hidden="false" customHeight="false" outlineLevel="0" collapsed="false">
      <c r="A16" s="3" t="s">
        <v>172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10" t="s">
        <v>173</v>
      </c>
      <c r="B17" s="20" t="n">
        <v>350</v>
      </c>
      <c r="C17" s="20" t="n">
        <v>450</v>
      </c>
      <c r="D17" s="20" t="n">
        <v>700</v>
      </c>
      <c r="E17" s="20" t="n">
        <v>1200</v>
      </c>
      <c r="F17" s="12" t="s">
        <v>174</v>
      </c>
    </row>
    <row r="18" customFormat="false" ht="15" hidden="false" customHeight="false" outlineLevel="0" collapsed="false">
      <c r="A18" s="10" t="s">
        <v>175</v>
      </c>
      <c r="B18" s="20" t="n">
        <v>200</v>
      </c>
      <c r="C18" s="20" t="n">
        <v>300</v>
      </c>
      <c r="D18" s="20" t="n">
        <v>500</v>
      </c>
      <c r="E18" s="20" t="n">
        <v>800</v>
      </c>
      <c r="F18" s="12" t="s">
        <v>176</v>
      </c>
    </row>
    <row r="19" customFormat="false" ht="22.35" hidden="false" customHeight="false" outlineLevel="0" collapsed="false">
      <c r="A19" s="10" t="s">
        <v>177</v>
      </c>
      <c r="B19" s="20" t="n">
        <v>0</v>
      </c>
      <c r="C19" s="20" t="n">
        <v>800</v>
      </c>
      <c r="D19" s="20" t="n">
        <v>3000</v>
      </c>
      <c r="E19" s="20" t="n">
        <v>9000</v>
      </c>
      <c r="F19" s="12" t="s">
        <v>178</v>
      </c>
    </row>
    <row r="20" customFormat="false" ht="15" hidden="false" customHeight="false" outlineLevel="0" collapsed="false">
      <c r="A20" s="5" t="s">
        <v>171</v>
      </c>
      <c r="B20" s="21" t="n">
        <f aca="false">SUM(B17:B19)</f>
        <v>550</v>
      </c>
      <c r="C20" s="21" t="n">
        <f aca="false">SUM(C17:C19)</f>
        <v>1550</v>
      </c>
      <c r="D20" s="21" t="n">
        <f aca="false">SUM(D17:D19)</f>
        <v>4200</v>
      </c>
      <c r="E20" s="21" t="n">
        <f aca="false">SUM(E17:E19)</f>
        <v>11000</v>
      </c>
    </row>
    <row r="22" customFormat="false" ht="15" hidden="false" customHeight="false" outlineLevel="0" collapsed="false">
      <c r="A22" s="23" t="s">
        <v>179</v>
      </c>
      <c r="B22" s="24" t="n">
        <f aca="false">B14+B20</f>
        <v>893.662</v>
      </c>
      <c r="C22" s="24" t="n">
        <f aca="false">C14+C20</f>
        <v>2519.518</v>
      </c>
      <c r="D22" s="24" t="n">
        <f aca="false">D14+D20</f>
        <v>7066.39</v>
      </c>
      <c r="E22" s="24" t="n">
        <f aca="false">E14+E20</f>
        <v>19784.59</v>
      </c>
    </row>
    <row r="24" customFormat="false" ht="15" hidden="false" customHeight="false" outlineLevel="0" collapsed="false">
      <c r="A24" s="3" t="s">
        <v>180</v>
      </c>
      <c r="B24" s="4"/>
      <c r="C24" s="4"/>
      <c r="D24" s="4"/>
      <c r="E24" s="4"/>
      <c r="F24" s="4"/>
      <c r="G24" s="4"/>
      <c r="H24" s="4"/>
    </row>
    <row r="25" customFormat="false" ht="27.75" hidden="false" customHeight="true" outlineLevel="0" collapsed="false">
      <c r="A25" s="7" t="s">
        <v>181</v>
      </c>
      <c r="B25" s="7" t="s">
        <v>182</v>
      </c>
      <c r="C25" s="7" t="s">
        <v>183</v>
      </c>
    </row>
    <row r="26" customFormat="false" ht="15" hidden="false" customHeight="false" outlineLevel="0" collapsed="false">
      <c r="A26" s="17" t="n">
        <v>0</v>
      </c>
      <c r="B26" s="10" t="s">
        <v>184</v>
      </c>
      <c r="C26" s="21" t="n">
        <f aca="false">B22</f>
        <v>893.662</v>
      </c>
    </row>
    <row r="27" customFormat="false" ht="15" hidden="false" customHeight="false" outlineLevel="0" collapsed="false">
      <c r="A27" s="17" t="n">
        <v>501</v>
      </c>
      <c r="B27" s="10" t="s">
        <v>185</v>
      </c>
      <c r="C27" s="21" t="n">
        <f aca="false">C22</f>
        <v>2519.518</v>
      </c>
    </row>
    <row r="28" customFormat="false" ht="15" hidden="false" customHeight="false" outlineLevel="0" collapsed="false">
      <c r="A28" s="17" t="n">
        <v>2001</v>
      </c>
      <c r="B28" s="10" t="s">
        <v>186</v>
      </c>
      <c r="C28" s="21" t="n">
        <f aca="false">D22</f>
        <v>7066.39</v>
      </c>
    </row>
    <row r="29" customFormat="false" ht="15" hidden="false" customHeight="false" outlineLevel="0" collapsed="false">
      <c r="A29" s="17" t="n">
        <v>10001</v>
      </c>
      <c r="B29" s="10" t="s">
        <v>187</v>
      </c>
      <c r="C29" s="21" t="n">
        <f aca="false">E22</f>
        <v>19784.59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24" hidden="false" customHeight="tru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27.75" hidden="false" customHeight="true" outlineLevel="0" collapsed="false">
      <c r="A4" s="7" t="s">
        <v>190</v>
      </c>
      <c r="B4" s="7" t="s">
        <v>191</v>
      </c>
      <c r="C4" s="7" t="s">
        <v>192</v>
      </c>
      <c r="D4" s="7" t="s">
        <v>193</v>
      </c>
      <c r="E4" s="7" t="s">
        <v>94</v>
      </c>
    </row>
    <row r="5" customFormat="false" ht="21.75" hidden="false" customHeight="true" outlineLevel="0" collapsed="false">
      <c r="A5" s="5" t="s">
        <v>194</v>
      </c>
      <c r="B5" s="16" t="n">
        <f aca="false">Premissas!$B$13</f>
        <v>19.9</v>
      </c>
      <c r="C5" s="16" t="n">
        <f aca="false">Premissas!$B$14</f>
        <v>29.9</v>
      </c>
      <c r="D5" s="16" t="n">
        <f aca="false">Premissas!$B$15*B5+(1-Premissas!$B$15)*C5</f>
        <v>22.9</v>
      </c>
      <c r="E5" s="12" t="s">
        <v>195</v>
      </c>
    </row>
    <row r="6" customFormat="false" ht="21.75" hidden="false" customHeight="true" outlineLevel="0" collapsed="false">
      <c r="A6" s="10" t="s">
        <v>196</v>
      </c>
      <c r="B6" s="26" t="n">
        <f aca="false">-B5*Premissas!$B$7</f>
        <v>-1.194</v>
      </c>
      <c r="C6" s="26" t="n">
        <f aca="false">-C5*Premissas!$B$7</f>
        <v>-1.794</v>
      </c>
      <c r="D6" s="26" t="n">
        <f aca="false">Premissas!$B$15*B6+(1-Premissas!$B$15)*C6</f>
        <v>-1.374</v>
      </c>
      <c r="E6" s="12" t="s">
        <v>197</v>
      </c>
    </row>
    <row r="7" customFormat="false" ht="21.75" hidden="false" customHeight="true" outlineLevel="0" collapsed="false">
      <c r="A7" s="10" t="s">
        <v>198</v>
      </c>
      <c r="B7" s="26" t="n">
        <f aca="false">-B5*(1-Premissas!$B$10)*Premissas!$B$8</f>
        <v>-0.61292</v>
      </c>
      <c r="C7" s="26" t="n">
        <f aca="false">-C5*(1-Premissas!$B$10)*Premissas!$B$8</f>
        <v>-0.92092</v>
      </c>
      <c r="D7" s="26" t="n">
        <f aca="false">Premissas!$B$15*B7+(1-Premissas!$B$15)*C7</f>
        <v>-0.70532</v>
      </c>
      <c r="E7" s="12" t="s">
        <v>199</v>
      </c>
    </row>
    <row r="8" customFormat="false" ht="21.75" hidden="false" customHeight="true" outlineLevel="0" collapsed="false">
      <c r="A8" s="10" t="s">
        <v>200</v>
      </c>
      <c r="B8" s="26" t="n">
        <f aca="false">-B5*Premissas!$B$10*Premissas!$B$9</f>
        <v>-0.8955</v>
      </c>
      <c r="C8" s="26" t="n">
        <f aca="false">-C5*Premissas!$B$10*Premissas!$B$9</f>
        <v>-1.3455</v>
      </c>
      <c r="D8" s="26" t="n">
        <f aca="false">Premissas!$B$15*B8+(1-Premissas!$B$15)*C8</f>
        <v>-1.0305</v>
      </c>
      <c r="E8" s="12" t="s">
        <v>201</v>
      </c>
    </row>
    <row r="9" customFormat="false" ht="21.75" hidden="false" customHeight="true" outlineLevel="0" collapsed="false">
      <c r="A9" s="10" t="s">
        <v>202</v>
      </c>
      <c r="B9" s="26" t="n">
        <f aca="false">-Premissas!$B$28</f>
        <v>-5.462016</v>
      </c>
      <c r="C9" s="26" t="n">
        <f aca="false">-Premissas!$B$30</f>
        <v>-9.2854272</v>
      </c>
      <c r="D9" s="26" t="n">
        <f aca="false">Premissas!$B$15*B9+(1-Premissas!$B$15)*C9</f>
        <v>-6.60903936</v>
      </c>
      <c r="E9" s="12" t="s">
        <v>203</v>
      </c>
    </row>
    <row r="10" customFormat="false" ht="21.75" hidden="false" customHeight="true" outlineLevel="0" collapsed="false">
      <c r="A10" s="10" t="s">
        <v>204</v>
      </c>
      <c r="B10" s="26" t="n">
        <f aca="false">-Premissas!$B$35</f>
        <v>-2.16</v>
      </c>
      <c r="C10" s="26" t="n">
        <f aca="false">-Premissas!$B$35</f>
        <v>-2.16</v>
      </c>
      <c r="D10" s="26" t="n">
        <f aca="false">Premissas!$B$15*B10+(1-Premissas!$B$15)*C10</f>
        <v>-2.16</v>
      </c>
      <c r="E10" s="12" t="s">
        <v>205</v>
      </c>
    </row>
    <row r="11" customFormat="false" ht="21.75" hidden="false" customHeight="true" outlineLevel="0" collapsed="false">
      <c r="A11" s="23" t="s">
        <v>206</v>
      </c>
      <c r="B11" s="27" t="n">
        <f aca="false">SUM(B5:B10)</f>
        <v>9.575564</v>
      </c>
      <c r="C11" s="27" t="n">
        <f aca="false">SUM(C5:C10)</f>
        <v>14.3941528</v>
      </c>
      <c r="D11" s="27" t="n">
        <f aca="false">Premissas!$B$15*B11+(1-Premissas!$B$15)*C11</f>
        <v>11.02114064</v>
      </c>
      <c r="E11" s="12" t="s">
        <v>207</v>
      </c>
    </row>
    <row r="12" customFormat="false" ht="21.75" hidden="false" customHeight="true" outlineLevel="0" collapsed="false">
      <c r="A12" s="10" t="s">
        <v>208</v>
      </c>
      <c r="B12" s="28" t="n">
        <f aca="false">B11/B5</f>
        <v>0.481184120603015</v>
      </c>
      <c r="C12" s="28" t="n">
        <f aca="false">C11/C5</f>
        <v>0.481409792642141</v>
      </c>
      <c r="D12" s="28" t="n">
        <f aca="false">D11/D5</f>
        <v>0.481272517030568</v>
      </c>
      <c r="E12" s="12" t="s">
        <v>209</v>
      </c>
    </row>
    <row r="14" customFormat="false" ht="15" hidden="false" customHeight="false" outlineLevel="0" collapsed="false">
      <c r="A14" s="3" t="s">
        <v>210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10" t="s">
        <v>89</v>
      </c>
      <c r="D15" s="19" t="n">
        <f aca="false">Premissas!$B$39</f>
        <v>14.2857142857143</v>
      </c>
      <c r="E15" s="2" t="s">
        <v>211</v>
      </c>
    </row>
    <row r="16" customFormat="false" ht="15" hidden="false" customHeight="false" outlineLevel="0" collapsed="false">
      <c r="A16" s="10" t="s">
        <v>212</v>
      </c>
      <c r="D16" s="16" t="n">
        <f aca="false">D11*Premissas!$B$39</f>
        <v>157.444866285714</v>
      </c>
      <c r="E16" s="2" t="s">
        <v>213</v>
      </c>
    </row>
    <row r="17" customFormat="false" ht="15" hidden="false" customHeight="false" outlineLevel="0" collapsed="false">
      <c r="A17" s="10" t="s">
        <v>214</v>
      </c>
      <c r="D17" s="29" t="n">
        <f aca="false">Premissas!$B$36</f>
        <v>120</v>
      </c>
    </row>
    <row r="18" customFormat="false" ht="15" hidden="false" customHeight="false" outlineLevel="0" collapsed="false">
      <c r="A18" s="5" t="s">
        <v>215</v>
      </c>
      <c r="D18" s="30" t="n">
        <f aca="false">IF(D17=0,0,D16/D17)</f>
        <v>1.31204055238095</v>
      </c>
      <c r="E18" s="2" t="s">
        <v>216</v>
      </c>
    </row>
    <row r="19" customFormat="false" ht="15" hidden="false" customHeight="false" outlineLevel="0" collapsed="false">
      <c r="A19" s="5" t="s">
        <v>217</v>
      </c>
      <c r="D19" s="19" t="n">
        <f aca="false">IF(D11=0,0,D17/D11)</f>
        <v>10.8881652017463</v>
      </c>
      <c r="E19" s="2" t="s">
        <v>218</v>
      </c>
    </row>
    <row r="21" customFormat="false" ht="15" hidden="false" customHeight="false" outlineLevel="0" collapsed="false">
      <c r="A21" s="3" t="s">
        <v>219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5" t="s">
        <v>220</v>
      </c>
      <c r="B22" s="31" t="str">
        <f aca="false">IF(D18&gt;=3,"SAUDÁVEL — aquisição paga se sustenta",IF(D18&gt;=1.5,"APERTADO — só cresça com canal orgânico e parcerias","INVIÁVEL — cada cliente pago destrói caixa. Reduza custo de IA, churn ou CAC."))</f>
        <v>INVIÁVEL — cada cliente pago destrói caixa. Reduza custo de IA, churn ou CAC.</v>
      </c>
      <c r="C22" s="31"/>
      <c r="D22" s="31"/>
      <c r="E22" s="31"/>
    </row>
    <row r="23" customFormat="false" ht="15" hidden="false" customHeight="false" outlineLevel="0" collapsed="false">
      <c r="A23" s="10" t="s">
        <v>221</v>
      </c>
      <c r="B23" s="16" t="n">
        <f aca="false">(3*D17*Premissas!$B$38) + (D5-D11)</f>
        <v>37.07885936</v>
      </c>
      <c r="E23" s="2" t="s">
        <v>222</v>
      </c>
    </row>
  </sheetData>
  <mergeCells count="1"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2"/>
  </cols>
  <sheetData>
    <row r="1" customFormat="false" ht="24" hidden="false" customHeight="tru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15" hidden="false" customHeight="false" outlineLevel="0" collapsed="false">
      <c r="A4" s="3" t="s">
        <v>225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226</v>
      </c>
      <c r="B5" s="17" t="n">
        <v>15</v>
      </c>
      <c r="D5" s="10" t="s">
        <v>227</v>
      </c>
      <c r="E5" s="13" t="n">
        <v>0.12</v>
      </c>
    </row>
    <row r="6" customFormat="false" ht="27.75" hidden="false" customHeight="true" outlineLevel="0" collapsed="false">
      <c r="A6" s="7" t="s">
        <v>228</v>
      </c>
      <c r="B6" s="7" t="s">
        <v>229</v>
      </c>
      <c r="C6" s="7" t="s">
        <v>230</v>
      </c>
      <c r="D6" s="7" t="s">
        <v>231</v>
      </c>
      <c r="E6" s="7" t="s">
        <v>232</v>
      </c>
      <c r="F6" s="7" t="s">
        <v>233</v>
      </c>
      <c r="G6" s="7" t="s">
        <v>234</v>
      </c>
      <c r="H6" s="7" t="s">
        <v>235</v>
      </c>
      <c r="I6" s="7" t="s">
        <v>236</v>
      </c>
      <c r="J6" s="7" t="s">
        <v>237</v>
      </c>
      <c r="K6" s="7" t="s">
        <v>238</v>
      </c>
      <c r="L6" s="7" t="s">
        <v>239</v>
      </c>
      <c r="M6" s="7" t="s">
        <v>240</v>
      </c>
      <c r="N6" s="7" t="s">
        <v>241</v>
      </c>
      <c r="O6" s="7" t="s">
        <v>242</v>
      </c>
      <c r="P6" s="7" t="s">
        <v>243</v>
      </c>
      <c r="Q6" s="7" t="s">
        <v>244</v>
      </c>
      <c r="R6" s="7" t="s">
        <v>245</v>
      </c>
      <c r="S6" s="7" t="s">
        <v>246</v>
      </c>
      <c r="T6" s="7" t="s">
        <v>247</v>
      </c>
      <c r="U6" s="7" t="s">
        <v>248</v>
      </c>
      <c r="V6" s="7" t="s">
        <v>249</v>
      </c>
      <c r="W6" s="7" t="s">
        <v>250</v>
      </c>
      <c r="X6" s="7" t="s">
        <v>251</v>
      </c>
      <c r="Y6" s="7" t="s">
        <v>252</v>
      </c>
    </row>
    <row r="7" customFormat="false" ht="15" hidden="false" customHeight="false" outlineLevel="0" collapsed="false">
      <c r="A7" s="10" t="s">
        <v>253</v>
      </c>
      <c r="B7" s="32" t="n">
        <f aca="false">$B$5</f>
        <v>15</v>
      </c>
      <c r="C7" s="32" t="n">
        <f aca="false">B7*(1+$E$5)</f>
        <v>16.8</v>
      </c>
      <c r="D7" s="32" t="n">
        <f aca="false">C7*(1+$E$5)</f>
        <v>18.816</v>
      </c>
      <c r="E7" s="32" t="n">
        <f aca="false">D7*(1+$E$5)</f>
        <v>21.07392</v>
      </c>
      <c r="F7" s="32" t="n">
        <f aca="false">E7*(1+$E$5)</f>
        <v>23.6027904</v>
      </c>
      <c r="G7" s="32" t="n">
        <f aca="false">F7*(1+$E$5)</f>
        <v>26.435125248</v>
      </c>
      <c r="H7" s="32" t="n">
        <f aca="false">G7*(1+$E$5)</f>
        <v>29.60734027776</v>
      </c>
      <c r="I7" s="32" t="n">
        <f aca="false">H7*(1+$E$5)</f>
        <v>33.1602211110912</v>
      </c>
      <c r="J7" s="32" t="n">
        <f aca="false">I7*(1+$E$5)</f>
        <v>37.1394476444222</v>
      </c>
      <c r="K7" s="32" t="n">
        <f aca="false">J7*(1+$E$5)</f>
        <v>41.5961813617528</v>
      </c>
      <c r="L7" s="32" t="n">
        <f aca="false">K7*(1+$E$5)</f>
        <v>46.5877231251632</v>
      </c>
      <c r="M7" s="32" t="n">
        <f aca="false">L7*(1+$E$5)</f>
        <v>52.1782499001828</v>
      </c>
      <c r="N7" s="32" t="n">
        <f aca="false">M7*(1+$E$5)</f>
        <v>58.4396398882047</v>
      </c>
      <c r="O7" s="32" t="n">
        <f aca="false">N7*(1+$E$5)</f>
        <v>65.4523966747893</v>
      </c>
      <c r="P7" s="32" t="n">
        <f aca="false">O7*(1+$E$5)</f>
        <v>73.306684275764</v>
      </c>
      <c r="Q7" s="32" t="n">
        <f aca="false">P7*(1+$E$5)</f>
        <v>82.1034863888557</v>
      </c>
      <c r="R7" s="32" t="n">
        <f aca="false">Q7*(1+$E$5)</f>
        <v>91.9559047555184</v>
      </c>
      <c r="S7" s="32" t="n">
        <f aca="false">R7*(1+$E$5)</f>
        <v>102.990613326181</v>
      </c>
      <c r="T7" s="32" t="n">
        <f aca="false">S7*(1+$E$5)</f>
        <v>115.349486925322</v>
      </c>
      <c r="U7" s="32" t="n">
        <f aca="false">T7*(1+$E$5)</f>
        <v>129.191425356361</v>
      </c>
      <c r="V7" s="32" t="n">
        <f aca="false">U7*(1+$E$5)</f>
        <v>144.694396399124</v>
      </c>
      <c r="W7" s="32" t="n">
        <f aca="false">V7*(1+$E$5)</f>
        <v>162.057723967019</v>
      </c>
      <c r="X7" s="32" t="n">
        <f aca="false">W7*(1+$E$5)</f>
        <v>181.504650843061</v>
      </c>
      <c r="Y7" s="32" t="n">
        <f aca="false">X7*(1+$E$5)</f>
        <v>203.285208944229</v>
      </c>
    </row>
    <row r="8" customFormat="false" ht="15" hidden="false" customHeight="false" outlineLevel="0" collapsed="false">
      <c r="A8" s="10" t="s">
        <v>254</v>
      </c>
      <c r="B8" s="32" t="n">
        <f aca="false">0</f>
        <v>0</v>
      </c>
      <c r="C8" s="32" t="n">
        <f aca="false">B10</f>
        <v>15</v>
      </c>
      <c r="D8" s="32" t="n">
        <f aca="false">C10</f>
        <v>30.75</v>
      </c>
      <c r="E8" s="32" t="n">
        <f aca="false">D10</f>
        <v>47.4135</v>
      </c>
      <c r="F8" s="32" t="n">
        <f aca="false">E10</f>
        <v>65.168475</v>
      </c>
      <c r="G8" s="32" t="n">
        <f aca="false">F10</f>
        <v>84.20947215</v>
      </c>
      <c r="H8" s="32" t="n">
        <f aca="false">G10</f>
        <v>104.7499343475</v>
      </c>
      <c r="I8" s="32" t="n">
        <f aca="false">H10</f>
        <v>127.024779220935</v>
      </c>
      <c r="J8" s="32" t="n">
        <f aca="false">I10</f>
        <v>151.293265786561</v>
      </c>
      <c r="K8" s="32" t="n">
        <f aca="false">J10</f>
        <v>177.842184825924</v>
      </c>
      <c r="L8" s="32" t="n">
        <f aca="false">K10</f>
        <v>206.989413249862</v>
      </c>
      <c r="M8" s="32" t="n">
        <f aca="false">L10</f>
        <v>239.087877447535</v>
      </c>
      <c r="N8" s="32" t="n">
        <f aca="false">M10</f>
        <v>274.52997592639</v>
      </c>
      <c r="O8" s="32" t="n">
        <f aca="false">N10</f>
        <v>313.752517499747</v>
      </c>
      <c r="P8" s="32" t="n">
        <f aca="false">O10</f>
        <v>357.242237949554</v>
      </c>
      <c r="Q8" s="32" t="n">
        <f aca="false">P10</f>
        <v>405.54196556885</v>
      </c>
      <c r="R8" s="32" t="n">
        <f aca="false">Q10</f>
        <v>459.257514367886</v>
      </c>
      <c r="S8" s="32" t="n">
        <f aca="false">R10</f>
        <v>519.065393117652</v>
      </c>
      <c r="T8" s="32" t="n">
        <f aca="false">S10</f>
        <v>585.721428925597</v>
      </c>
      <c r="U8" s="32" t="n">
        <f aca="false">T10</f>
        <v>660.070415826128</v>
      </c>
      <c r="V8" s="32" t="n">
        <f aca="false">U10</f>
        <v>743.05691207466</v>
      </c>
      <c r="W8" s="32" t="n">
        <f aca="false">V10</f>
        <v>835.737324628558</v>
      </c>
      <c r="X8" s="32" t="n">
        <f aca="false">W10</f>
        <v>939.293435871578</v>
      </c>
      <c r="Y8" s="32" t="n">
        <f aca="false">X10</f>
        <v>1055.04754620363</v>
      </c>
    </row>
    <row r="9" customFormat="false" ht="15" hidden="false" customHeight="false" outlineLevel="0" collapsed="false">
      <c r="A9" s="10" t="s">
        <v>255</v>
      </c>
      <c r="B9" s="32" t="n">
        <f aca="false">-B8*Premissas!$B$38</f>
        <v>-0</v>
      </c>
      <c r="C9" s="32" t="n">
        <f aca="false">-C8*Premissas!$B$38</f>
        <v>-1.05</v>
      </c>
      <c r="D9" s="32" t="n">
        <f aca="false">-D8*Premissas!$B$38</f>
        <v>-2.1525</v>
      </c>
      <c r="E9" s="32" t="n">
        <f aca="false">-E8*Premissas!$B$38</f>
        <v>-3.318945</v>
      </c>
      <c r="F9" s="32" t="n">
        <f aca="false">-F8*Premissas!$B$38</f>
        <v>-4.56179325</v>
      </c>
      <c r="G9" s="32" t="n">
        <f aca="false">-G8*Premissas!$B$38</f>
        <v>-5.8946630505</v>
      </c>
      <c r="H9" s="32" t="n">
        <f aca="false">-H8*Premissas!$B$38</f>
        <v>-7.332495404325</v>
      </c>
      <c r="I9" s="32" t="n">
        <f aca="false">-I8*Premissas!$B$38</f>
        <v>-8.89173454546545</v>
      </c>
      <c r="J9" s="32" t="n">
        <f aca="false">-J8*Premissas!$B$38</f>
        <v>-10.5905286050593</v>
      </c>
      <c r="K9" s="32" t="n">
        <f aca="false">-K8*Premissas!$B$38</f>
        <v>-12.4489529378147</v>
      </c>
      <c r="L9" s="32" t="n">
        <f aca="false">-L8*Premissas!$B$38</f>
        <v>-14.4892589274903</v>
      </c>
      <c r="M9" s="32" t="n">
        <f aca="false">-M8*Premissas!$B$38</f>
        <v>-16.7361514213274</v>
      </c>
      <c r="N9" s="32" t="n">
        <f aca="false">-N8*Premissas!$B$38</f>
        <v>-19.2170983148473</v>
      </c>
      <c r="O9" s="32" t="n">
        <f aca="false">-O8*Premissas!$B$38</f>
        <v>-21.9626762249823</v>
      </c>
      <c r="P9" s="32" t="n">
        <f aca="false">-P8*Premissas!$B$38</f>
        <v>-25.0069566564688</v>
      </c>
      <c r="Q9" s="32" t="n">
        <f aca="false">-Q8*Premissas!$B$38</f>
        <v>-28.3879375898195</v>
      </c>
      <c r="R9" s="32" t="n">
        <f aca="false">-R8*Premissas!$B$38</f>
        <v>-32.148026005752</v>
      </c>
      <c r="S9" s="32" t="n">
        <f aca="false">-S8*Premissas!$B$38</f>
        <v>-36.3345775182357</v>
      </c>
      <c r="T9" s="32" t="n">
        <f aca="false">-T8*Premissas!$B$38</f>
        <v>-41.0005000247918</v>
      </c>
      <c r="U9" s="32" t="n">
        <f aca="false">-U8*Premissas!$B$38</f>
        <v>-46.2049291078289</v>
      </c>
      <c r="V9" s="32" t="n">
        <f aca="false">-V8*Premissas!$B$38</f>
        <v>-52.0139838452262</v>
      </c>
      <c r="W9" s="32" t="n">
        <f aca="false">-W8*Premissas!$B$38</f>
        <v>-58.501612723999</v>
      </c>
      <c r="X9" s="32" t="n">
        <f aca="false">-X8*Premissas!$B$38</f>
        <v>-65.7505405110104</v>
      </c>
      <c r="Y9" s="32" t="n">
        <f aca="false">-Y8*Premissas!$B$38</f>
        <v>-73.853328234254</v>
      </c>
    </row>
    <row r="10" customFormat="false" ht="15" hidden="false" customHeight="false" outlineLevel="0" collapsed="false">
      <c r="A10" s="5" t="s">
        <v>256</v>
      </c>
      <c r="B10" s="33" t="n">
        <f aca="false">B8+B9+B7</f>
        <v>15</v>
      </c>
      <c r="C10" s="33" t="n">
        <f aca="false">C8+C9+C7</f>
        <v>30.75</v>
      </c>
      <c r="D10" s="33" t="n">
        <f aca="false">D8+D9+D7</f>
        <v>47.4135</v>
      </c>
      <c r="E10" s="33" t="n">
        <f aca="false">E8+E9+E7</f>
        <v>65.168475</v>
      </c>
      <c r="F10" s="33" t="n">
        <f aca="false">F8+F9+F7</f>
        <v>84.20947215</v>
      </c>
      <c r="G10" s="33" t="n">
        <f aca="false">G8+G9+G7</f>
        <v>104.7499343475</v>
      </c>
      <c r="H10" s="33" t="n">
        <f aca="false">H8+H9+H7</f>
        <v>127.024779220935</v>
      </c>
      <c r="I10" s="33" t="n">
        <f aca="false">I8+I9+I7</f>
        <v>151.293265786561</v>
      </c>
      <c r="J10" s="33" t="n">
        <f aca="false">J8+J9+J7</f>
        <v>177.842184825924</v>
      </c>
      <c r="K10" s="33" t="n">
        <f aca="false">K8+K9+K7</f>
        <v>206.989413249862</v>
      </c>
      <c r="L10" s="33" t="n">
        <f aca="false">L8+L9+L7</f>
        <v>239.087877447535</v>
      </c>
      <c r="M10" s="33" t="n">
        <f aca="false">M8+M9+M7</f>
        <v>274.52997592639</v>
      </c>
      <c r="N10" s="33" t="n">
        <f aca="false">N8+N9+N7</f>
        <v>313.752517499747</v>
      </c>
      <c r="O10" s="33" t="n">
        <f aca="false">O8+O9+O7</f>
        <v>357.242237949554</v>
      </c>
      <c r="P10" s="33" t="n">
        <f aca="false">P8+P9+P7</f>
        <v>405.54196556885</v>
      </c>
      <c r="Q10" s="33" t="n">
        <f aca="false">Q8+Q9+Q7</f>
        <v>459.257514367886</v>
      </c>
      <c r="R10" s="33" t="n">
        <f aca="false">R8+R9+R7</f>
        <v>519.065393117652</v>
      </c>
      <c r="S10" s="33" t="n">
        <f aca="false">S8+S9+S7</f>
        <v>585.721428925597</v>
      </c>
      <c r="T10" s="33" t="n">
        <f aca="false">T8+T9+T7</f>
        <v>660.070415826128</v>
      </c>
      <c r="U10" s="33" t="n">
        <f aca="false">U8+U9+U7</f>
        <v>743.05691207466</v>
      </c>
      <c r="V10" s="33" t="n">
        <f aca="false">V8+V9+V7</f>
        <v>835.737324628558</v>
      </c>
      <c r="W10" s="33" t="n">
        <f aca="false">W8+W9+W7</f>
        <v>939.293435871578</v>
      </c>
      <c r="X10" s="33" t="n">
        <f aca="false">X8+X9+X7</f>
        <v>1055.04754620363</v>
      </c>
      <c r="Y10" s="33" t="n">
        <f aca="false">Y8+Y9+Y7</f>
        <v>1184.4794269136</v>
      </c>
    </row>
    <row r="11" customFormat="false" ht="15" hidden="false" customHeight="false" outlineLevel="0" collapsed="false">
      <c r="A11" s="10" t="s">
        <v>257</v>
      </c>
      <c r="B11" s="32" t="n">
        <f aca="false">(B8+B10)/2</f>
        <v>7.5</v>
      </c>
      <c r="C11" s="32" t="n">
        <f aca="false">(C8+C10)/2</f>
        <v>22.875</v>
      </c>
      <c r="D11" s="32" t="n">
        <f aca="false">(D8+D10)/2</f>
        <v>39.08175</v>
      </c>
      <c r="E11" s="32" t="n">
        <f aca="false">(E8+E10)/2</f>
        <v>56.2909875</v>
      </c>
      <c r="F11" s="32" t="n">
        <f aca="false">(F8+F10)/2</f>
        <v>74.688973575</v>
      </c>
      <c r="G11" s="32" t="n">
        <f aca="false">(G8+G10)/2</f>
        <v>94.47970324875</v>
      </c>
      <c r="H11" s="32" t="n">
        <f aca="false">(H8+H10)/2</f>
        <v>115.887356784218</v>
      </c>
      <c r="I11" s="32" t="n">
        <f aca="false">(I8+I10)/2</f>
        <v>139.159022503748</v>
      </c>
      <c r="J11" s="32" t="n">
        <f aca="false">(J8+J10)/2</f>
        <v>164.567725306242</v>
      </c>
      <c r="K11" s="32" t="n">
        <f aca="false">(K8+K10)/2</f>
        <v>192.415799037893</v>
      </c>
      <c r="L11" s="32" t="n">
        <f aca="false">(L8+L10)/2</f>
        <v>223.038645348698</v>
      </c>
      <c r="M11" s="32" t="n">
        <f aca="false">(M8+M10)/2</f>
        <v>256.808926686962</v>
      </c>
      <c r="N11" s="32" t="n">
        <f aca="false">(N8+N10)/2</f>
        <v>294.141246713069</v>
      </c>
      <c r="O11" s="32" t="n">
        <f aca="false">(O8+O10)/2</f>
        <v>335.497377724651</v>
      </c>
      <c r="P11" s="32" t="n">
        <f aca="false">(P8+P10)/2</f>
        <v>381.392101759202</v>
      </c>
      <c r="Q11" s="32" t="n">
        <f aca="false">(Q8+Q10)/2</f>
        <v>432.399739968368</v>
      </c>
      <c r="R11" s="32" t="n">
        <f aca="false">(R8+R10)/2</f>
        <v>489.161453742769</v>
      </c>
      <c r="S11" s="32" t="n">
        <f aca="false">(S8+S10)/2</f>
        <v>552.393411021625</v>
      </c>
      <c r="T11" s="32" t="n">
        <f aca="false">(T8+T10)/2</f>
        <v>622.895922375862</v>
      </c>
      <c r="U11" s="32" t="n">
        <f aca="false">(U8+U10)/2</f>
        <v>701.563663950393</v>
      </c>
      <c r="V11" s="32" t="n">
        <f aca="false">(V8+V10)/2</f>
        <v>789.397118351609</v>
      </c>
      <c r="W11" s="32" t="n">
        <f aca="false">(W8+W10)/2</f>
        <v>887.515380250068</v>
      </c>
      <c r="X11" s="32" t="n">
        <f aca="false">(X8+X10)/2</f>
        <v>997.170491037603</v>
      </c>
      <c r="Y11" s="32" t="n">
        <f aca="false">(Y8+Y10)/2</f>
        <v>1119.76348655862</v>
      </c>
    </row>
    <row r="12" customFormat="false" ht="15" hidden="false" customHeight="false" outlineLevel="0" collapsed="false">
      <c r="A12" s="5" t="s">
        <v>258</v>
      </c>
      <c r="B12" s="21" t="n">
        <f aca="false">B11*Premissas!$B$16</f>
        <v>171.75</v>
      </c>
      <c r="C12" s="21" t="n">
        <f aca="false">C11*Premissas!$B$16</f>
        <v>523.8375</v>
      </c>
      <c r="D12" s="21" t="n">
        <f aca="false">D11*Premissas!$B$16</f>
        <v>894.972075</v>
      </c>
      <c r="E12" s="21" t="n">
        <f aca="false">E11*Premissas!$B$16</f>
        <v>1289.06361375</v>
      </c>
      <c r="F12" s="21" t="n">
        <f aca="false">F11*Premissas!$B$16</f>
        <v>1710.3774948675</v>
      </c>
      <c r="G12" s="21" t="n">
        <f aca="false">G11*Premissas!$B$16</f>
        <v>2163.58520439638</v>
      </c>
      <c r="H12" s="21" t="n">
        <f aca="false">H11*Premissas!$B$16</f>
        <v>2653.82047035858</v>
      </c>
      <c r="I12" s="21" t="n">
        <f aca="false">I11*Premissas!$B$16</f>
        <v>3186.74161533583</v>
      </c>
      <c r="J12" s="21" t="n">
        <f aca="false">J11*Premissas!$B$16</f>
        <v>3768.60090951295</v>
      </c>
      <c r="K12" s="21" t="n">
        <f aca="false">K11*Premissas!$B$16</f>
        <v>4406.32179796775</v>
      </c>
      <c r="L12" s="21" t="n">
        <f aca="false">L11*Premissas!$B$16</f>
        <v>5107.58497848519</v>
      </c>
      <c r="M12" s="21" t="n">
        <f aca="false">M11*Premissas!$B$16</f>
        <v>5880.92442113144</v>
      </c>
      <c r="N12" s="21" t="n">
        <f aca="false">N11*Premissas!$B$16</f>
        <v>6735.83454972927</v>
      </c>
      <c r="O12" s="21" t="n">
        <f aca="false">O11*Premissas!$B$16</f>
        <v>7682.8899498945</v>
      </c>
      <c r="P12" s="21" t="n">
        <f aca="false">P11*Premissas!$B$16</f>
        <v>8733.87913028572</v>
      </c>
      <c r="Q12" s="21" t="n">
        <f aca="false">Q11*Premissas!$B$16</f>
        <v>9901.95404527562</v>
      </c>
      <c r="R12" s="21" t="n">
        <f aca="false">R11*Premissas!$B$16</f>
        <v>11201.7972907094</v>
      </c>
      <c r="S12" s="21" t="n">
        <f aca="false">S11*Premissas!$B$16</f>
        <v>12649.8091123952</v>
      </c>
      <c r="T12" s="21" t="n">
        <f aca="false">T11*Premissas!$B$16</f>
        <v>14264.3166224072</v>
      </c>
      <c r="U12" s="21" t="n">
        <f aca="false">U11*Premissas!$B$16</f>
        <v>16065.807904464</v>
      </c>
      <c r="V12" s="21" t="n">
        <f aca="false">V11*Premissas!$B$16</f>
        <v>18077.1940102518</v>
      </c>
      <c r="W12" s="21" t="n">
        <f aca="false">W11*Premissas!$B$16</f>
        <v>20324.1022077265</v>
      </c>
      <c r="X12" s="21" t="n">
        <f aca="false">X11*Premissas!$B$16</f>
        <v>22835.2042447611</v>
      </c>
      <c r="Y12" s="21" t="n">
        <f aca="false">Y11*Premissas!$B$16</f>
        <v>25642.5838421923</v>
      </c>
    </row>
    <row r="13" customFormat="false" ht="15" hidden="false" customHeight="false" outlineLevel="0" collapsed="false">
      <c r="A13" s="10" t="s">
        <v>259</v>
      </c>
      <c r="B13" s="22" t="n">
        <f aca="false">-B11*('Unit Economics'!$D$5-'Unit Economics'!$D$11)</f>
        <v>-89.0914452</v>
      </c>
      <c r="C13" s="22" t="n">
        <f aca="false">-C11*('Unit Economics'!$D$5-'Unit Economics'!$D$11)</f>
        <v>-271.72890786</v>
      </c>
      <c r="D13" s="22" t="n">
        <f aca="false">-D11*('Unit Economics'!$D$5-'Unit Economics'!$D$11)</f>
        <v>-464.24661179268</v>
      </c>
      <c r="E13" s="22" t="n">
        <f aca="false">-E11*('Unit Economics'!$D$5-'Unit Economics'!$D$11)</f>
        <v>-668.672723748018</v>
      </c>
      <c r="F13" s="22" t="n">
        <f aca="false">-F11*('Unit Economics'!$D$5-'Unit Economics'!$D$11)</f>
        <v>-887.219812840181</v>
      </c>
      <c r="G13" s="22" t="n">
        <f aca="false">-G11*('Unit Economics'!$D$5-'Unit Economics'!$D$11)</f>
        <v>-1122.31110726644</v>
      </c>
      <c r="H13" s="22" t="n">
        <f aca="false">-H11*('Unit Economics'!$D$5-'Unit Economics'!$D$11)</f>
        <v>-1376.60961284186</v>
      </c>
      <c r="I13" s="22" t="n">
        <f aca="false">-I11*('Unit Economics'!$D$5-'Unit Economics'!$D$11)</f>
        <v>-1653.0504569971</v>
      </c>
      <c r="J13" s="22" t="n">
        <f aca="false">-J11*('Unit Economics'!$D$5-'Unit Economics'!$D$11)</f>
        <v>-1954.87686410796</v>
      </c>
      <c r="K13" s="22" t="n">
        <f aca="false">-K11*('Unit Economics'!$D$5-'Unit Economics'!$D$11)</f>
        <v>-2285.68021541315</v>
      </c>
      <c r="L13" s="22" t="n">
        <f aca="false">-L11*('Unit Economics'!$D$5-'Unit Economics'!$D$11)</f>
        <v>-2649.4446999421</v>
      </c>
      <c r="M13" s="22" t="n">
        <f aca="false">-M11*('Unit Economics'!$D$5-'Unit Economics'!$D$11)</f>
        <v>-3050.59712250698</v>
      </c>
      <c r="N13" s="22" t="n">
        <f aca="false">-N11*('Unit Economics'!$D$5-'Unit Economics'!$D$11)</f>
        <v>-3494.06250167961</v>
      </c>
      <c r="O13" s="22" t="n">
        <f aca="false">-O11*('Unit Economics'!$D$5-'Unit Economics'!$D$11)</f>
        <v>-3985.32616563992</v>
      </c>
      <c r="P13" s="22" t="n">
        <f aca="false">-P11*('Unit Economics'!$D$5-'Unit Economics'!$D$11)</f>
        <v>-4530.50313781237</v>
      </c>
      <c r="Q13" s="22" t="n">
        <f aca="false">-Q11*('Unit Economics'!$D$5-'Unit Economics'!$D$11)</f>
        <v>-5136.41569838481</v>
      </c>
      <c r="R13" s="22" t="n">
        <f aca="false">-R11*('Unit Economics'!$D$5-'Unit Economics'!$D$11)</f>
        <v>-5810.6801133435</v>
      </c>
      <c r="S13" s="22" t="n">
        <f aca="false">-S11*('Unit Economics'!$D$5-'Unit Economics'!$D$11)</f>
        <v>-6561.80364091655</v>
      </c>
      <c r="T13" s="22" t="n">
        <f aca="false">-T11*('Unit Economics'!$D$5-'Unit Economics'!$D$11)</f>
        <v>-7399.29305782034</v>
      </c>
      <c r="U13" s="22" t="n">
        <f aca="false">-U11*('Unit Economics'!$D$5-'Unit Economics'!$D$11)</f>
        <v>-8333.77609615302</v>
      </c>
      <c r="V13" s="22" t="n">
        <f aca="false">-V11*('Unit Economics'!$D$5-'Unit Economics'!$D$11)</f>
        <v>-9377.13734808803</v>
      </c>
      <c r="W13" s="22" t="n">
        <f aca="false">-W11*('Unit Economics'!$D$5-'Unit Economics'!$D$11)</f>
        <v>-10542.6703818275</v>
      </c>
      <c r="X13" s="22" t="n">
        <f aca="false">-X11*('Unit Economics'!$D$5-'Unit Economics'!$D$11)</f>
        <v>-11845.2480209778</v>
      </c>
      <c r="Y13" s="22" t="n">
        <f aca="false">-Y11*('Unit Economics'!$D$5-'Unit Economics'!$D$11)</f>
        <v>-13301.5129732931</v>
      </c>
    </row>
    <row r="14" customFormat="false" ht="15" hidden="false" customHeight="false" outlineLevel="0" collapsed="false">
      <c r="A14" s="5" t="s">
        <v>260</v>
      </c>
      <c r="B14" s="21" t="n">
        <f aca="false">B12+B13</f>
        <v>82.6585548</v>
      </c>
      <c r="C14" s="21" t="n">
        <f aca="false">C12+C13</f>
        <v>252.10859214</v>
      </c>
      <c r="D14" s="21" t="n">
        <f aca="false">D12+D13</f>
        <v>430.72546320732</v>
      </c>
      <c r="E14" s="21" t="n">
        <f aca="false">E12+E13</f>
        <v>620.390890001982</v>
      </c>
      <c r="F14" s="21" t="n">
        <f aca="false">F12+F13</f>
        <v>823.157682027319</v>
      </c>
      <c r="G14" s="21" t="n">
        <f aca="false">G12+G13</f>
        <v>1041.27409712994</v>
      </c>
      <c r="H14" s="21" t="n">
        <f aca="false">H12+H13</f>
        <v>1277.21085751672</v>
      </c>
      <c r="I14" s="21" t="n">
        <f aca="false">I12+I13</f>
        <v>1533.69115833873</v>
      </c>
      <c r="J14" s="21" t="n">
        <f aca="false">J12+J13</f>
        <v>1813.72404540498</v>
      </c>
      <c r="K14" s="21" t="n">
        <f aca="false">K12+K13</f>
        <v>2120.64158255459</v>
      </c>
      <c r="L14" s="21" t="n">
        <f aca="false">L12+L13</f>
        <v>2458.14027854309</v>
      </c>
      <c r="M14" s="21" t="n">
        <f aca="false">M12+M13</f>
        <v>2830.32729862446</v>
      </c>
      <c r="N14" s="21" t="n">
        <f aca="false">N12+N13</f>
        <v>3241.77204804967</v>
      </c>
      <c r="O14" s="21" t="n">
        <f aca="false">O12+O13</f>
        <v>3697.56378425458</v>
      </c>
      <c r="P14" s="21" t="n">
        <f aca="false">P12+P13</f>
        <v>4203.37599247336</v>
      </c>
      <c r="Q14" s="21" t="n">
        <f aca="false">Q12+Q13</f>
        <v>4765.53834689081</v>
      </c>
      <c r="R14" s="21" t="n">
        <f aca="false">R12+R13</f>
        <v>5391.11717736591</v>
      </c>
      <c r="S14" s="21" t="n">
        <f aca="false">S12+S13</f>
        <v>6088.00547147865</v>
      </c>
      <c r="T14" s="21" t="n">
        <f aca="false">T12+T13</f>
        <v>6865.0235645869</v>
      </c>
      <c r="U14" s="21" t="n">
        <f aca="false">U12+U13</f>
        <v>7732.03180831099</v>
      </c>
      <c r="V14" s="21" t="n">
        <f aca="false">V12+V13</f>
        <v>8700.0566621638</v>
      </c>
      <c r="W14" s="21" t="n">
        <f aca="false">W12+W13</f>
        <v>9781.43182589907</v>
      </c>
      <c r="X14" s="21" t="n">
        <f aca="false">X12+X13</f>
        <v>10989.9562237833</v>
      </c>
      <c r="Y14" s="21" t="n">
        <f aca="false">Y12+Y13</f>
        <v>12341.0708688993</v>
      </c>
    </row>
    <row r="15" customFormat="false" ht="15" hidden="false" customHeight="false" outlineLevel="0" collapsed="false">
      <c r="A15" s="10" t="s">
        <v>261</v>
      </c>
      <c r="B15" s="22" t="n">
        <f aca="false">-INDEX('Custos Fixos'!$C$26:$C$29,MATCH(B10,'Custos Fixos'!$A$26:$A$29,1))</f>
        <v>-893.662</v>
      </c>
      <c r="C15" s="22" t="n">
        <f aca="false">-INDEX('Custos Fixos'!$C$26:$C$29,MATCH(C10,'Custos Fixos'!$A$26:$A$29,1))</f>
        <v>-893.662</v>
      </c>
      <c r="D15" s="22" t="n">
        <f aca="false">-INDEX('Custos Fixos'!$C$26:$C$29,MATCH(D10,'Custos Fixos'!$A$26:$A$29,1))</f>
        <v>-893.662</v>
      </c>
      <c r="E15" s="22" t="n">
        <f aca="false">-INDEX('Custos Fixos'!$C$26:$C$29,MATCH(E10,'Custos Fixos'!$A$26:$A$29,1))</f>
        <v>-893.662</v>
      </c>
      <c r="F15" s="22" t="n">
        <f aca="false">-INDEX('Custos Fixos'!$C$26:$C$29,MATCH(F10,'Custos Fixos'!$A$26:$A$29,1))</f>
        <v>-893.662</v>
      </c>
      <c r="G15" s="22" t="n">
        <f aca="false">-INDEX('Custos Fixos'!$C$26:$C$29,MATCH(G10,'Custos Fixos'!$A$26:$A$29,1))</f>
        <v>-893.662</v>
      </c>
      <c r="H15" s="22" t="n">
        <f aca="false">-INDEX('Custos Fixos'!$C$26:$C$29,MATCH(H10,'Custos Fixos'!$A$26:$A$29,1))</f>
        <v>-893.662</v>
      </c>
      <c r="I15" s="22" t="n">
        <f aca="false">-INDEX('Custos Fixos'!$C$26:$C$29,MATCH(I10,'Custos Fixos'!$A$26:$A$29,1))</f>
        <v>-893.662</v>
      </c>
      <c r="J15" s="22" t="n">
        <f aca="false">-INDEX('Custos Fixos'!$C$26:$C$29,MATCH(J10,'Custos Fixos'!$A$26:$A$29,1))</f>
        <v>-893.662</v>
      </c>
      <c r="K15" s="22" t="n">
        <f aca="false">-INDEX('Custos Fixos'!$C$26:$C$29,MATCH(K10,'Custos Fixos'!$A$26:$A$29,1))</f>
        <v>-893.662</v>
      </c>
      <c r="L15" s="22" t="n">
        <f aca="false">-INDEX('Custos Fixos'!$C$26:$C$29,MATCH(L10,'Custos Fixos'!$A$26:$A$29,1))</f>
        <v>-893.662</v>
      </c>
      <c r="M15" s="22" t="n">
        <f aca="false">-INDEX('Custos Fixos'!$C$26:$C$29,MATCH(M10,'Custos Fixos'!$A$26:$A$29,1))</f>
        <v>-893.662</v>
      </c>
      <c r="N15" s="22" t="n">
        <f aca="false">-INDEX('Custos Fixos'!$C$26:$C$29,MATCH(N10,'Custos Fixos'!$A$26:$A$29,1))</f>
        <v>-893.662</v>
      </c>
      <c r="O15" s="22" t="n">
        <f aca="false">-INDEX('Custos Fixos'!$C$26:$C$29,MATCH(O10,'Custos Fixos'!$A$26:$A$29,1))</f>
        <v>-893.662</v>
      </c>
      <c r="P15" s="22" t="n">
        <f aca="false">-INDEX('Custos Fixos'!$C$26:$C$29,MATCH(P10,'Custos Fixos'!$A$26:$A$29,1))</f>
        <v>-893.662</v>
      </c>
      <c r="Q15" s="22" t="n">
        <f aca="false">-INDEX('Custos Fixos'!$C$26:$C$29,MATCH(Q10,'Custos Fixos'!$A$26:$A$29,1))</f>
        <v>-893.662</v>
      </c>
      <c r="R15" s="22" t="n">
        <f aca="false">-INDEX('Custos Fixos'!$C$26:$C$29,MATCH(R10,'Custos Fixos'!$A$26:$A$29,1))</f>
        <v>-2519.518</v>
      </c>
      <c r="S15" s="22" t="n">
        <f aca="false">-INDEX('Custos Fixos'!$C$26:$C$29,MATCH(S10,'Custos Fixos'!$A$26:$A$29,1))</f>
        <v>-2519.518</v>
      </c>
      <c r="T15" s="22" t="n">
        <f aca="false">-INDEX('Custos Fixos'!$C$26:$C$29,MATCH(T10,'Custos Fixos'!$A$26:$A$29,1))</f>
        <v>-2519.518</v>
      </c>
      <c r="U15" s="22" t="n">
        <f aca="false">-INDEX('Custos Fixos'!$C$26:$C$29,MATCH(U10,'Custos Fixos'!$A$26:$A$29,1))</f>
        <v>-2519.518</v>
      </c>
      <c r="V15" s="22" t="n">
        <f aca="false">-INDEX('Custos Fixos'!$C$26:$C$29,MATCH(V10,'Custos Fixos'!$A$26:$A$29,1))</f>
        <v>-2519.518</v>
      </c>
      <c r="W15" s="22" t="n">
        <f aca="false">-INDEX('Custos Fixos'!$C$26:$C$29,MATCH(W10,'Custos Fixos'!$A$26:$A$29,1))</f>
        <v>-2519.518</v>
      </c>
      <c r="X15" s="22" t="n">
        <f aca="false">-INDEX('Custos Fixos'!$C$26:$C$29,MATCH(X10,'Custos Fixos'!$A$26:$A$29,1))</f>
        <v>-2519.518</v>
      </c>
      <c r="Y15" s="22" t="n">
        <f aca="false">-INDEX('Custos Fixos'!$C$26:$C$29,MATCH(Y10,'Custos Fixos'!$A$26:$A$29,1))</f>
        <v>-2519.518</v>
      </c>
    </row>
    <row r="16" customFormat="false" ht="15" hidden="false" customHeight="false" outlineLevel="0" collapsed="false">
      <c r="A16" s="10" t="s">
        <v>262</v>
      </c>
      <c r="B16" s="22" t="n">
        <f aca="false">-B7*Premissas!$B$37*Premissas!$B$36</f>
        <v>-900</v>
      </c>
      <c r="C16" s="22" t="n">
        <f aca="false">-C7*Premissas!$B$37*Premissas!$B$36</f>
        <v>-1008</v>
      </c>
      <c r="D16" s="22" t="n">
        <f aca="false">-D7*Premissas!$B$37*Premissas!$B$36</f>
        <v>-1128.96</v>
      </c>
      <c r="E16" s="22" t="n">
        <f aca="false">-E7*Premissas!$B$37*Premissas!$B$36</f>
        <v>-1264.4352</v>
      </c>
      <c r="F16" s="22" t="n">
        <f aca="false">-F7*Premissas!$B$37*Premissas!$B$36</f>
        <v>-1416.167424</v>
      </c>
      <c r="G16" s="22" t="n">
        <f aca="false">-G7*Premissas!$B$37*Premissas!$B$36</f>
        <v>-1586.10751488</v>
      </c>
      <c r="H16" s="22" t="n">
        <f aca="false">-H7*Premissas!$B$37*Premissas!$B$36</f>
        <v>-1776.4404166656</v>
      </c>
      <c r="I16" s="22" t="n">
        <f aca="false">-I7*Premissas!$B$37*Premissas!$B$36</f>
        <v>-1989.61326666547</v>
      </c>
      <c r="J16" s="22" t="n">
        <f aca="false">-J7*Premissas!$B$37*Premissas!$B$36</f>
        <v>-2228.36685866533</v>
      </c>
      <c r="K16" s="22" t="n">
        <f aca="false">-K7*Premissas!$B$37*Premissas!$B$36</f>
        <v>-2495.77088170517</v>
      </c>
      <c r="L16" s="22" t="n">
        <f aca="false">-L7*Premissas!$B$37*Premissas!$B$36</f>
        <v>-2795.26338750979</v>
      </c>
      <c r="M16" s="22" t="n">
        <f aca="false">-M7*Premissas!$B$37*Premissas!$B$36</f>
        <v>-3130.69499401097</v>
      </c>
      <c r="N16" s="22" t="n">
        <f aca="false">-N7*Premissas!$B$37*Premissas!$B$36</f>
        <v>-3506.37839329228</v>
      </c>
      <c r="O16" s="22" t="n">
        <f aca="false">-O7*Premissas!$B$37*Premissas!$B$36</f>
        <v>-3927.14380048736</v>
      </c>
      <c r="P16" s="22" t="n">
        <f aca="false">-P7*Premissas!$B$37*Premissas!$B$36</f>
        <v>-4398.40105654584</v>
      </c>
      <c r="Q16" s="22" t="n">
        <f aca="false">-Q7*Premissas!$B$37*Premissas!$B$36</f>
        <v>-4926.20918333134</v>
      </c>
      <c r="R16" s="22" t="n">
        <f aca="false">-R7*Premissas!$B$37*Premissas!$B$36</f>
        <v>-5517.3542853311</v>
      </c>
      <c r="S16" s="22" t="n">
        <f aca="false">-S7*Premissas!$B$37*Premissas!$B$36</f>
        <v>-6179.43679957083</v>
      </c>
      <c r="T16" s="22" t="n">
        <f aca="false">-T7*Premissas!$B$37*Premissas!$B$36</f>
        <v>-6920.96921551934</v>
      </c>
      <c r="U16" s="22" t="n">
        <f aca="false">-U7*Premissas!$B$37*Premissas!$B$36</f>
        <v>-7751.48552138166</v>
      </c>
      <c r="V16" s="22" t="n">
        <f aca="false">-V7*Premissas!$B$37*Premissas!$B$36</f>
        <v>-8681.66378394746</v>
      </c>
      <c r="W16" s="22" t="n">
        <f aca="false">-W7*Premissas!$B$37*Premissas!$B$36</f>
        <v>-9723.46343802115</v>
      </c>
      <c r="X16" s="22" t="n">
        <f aca="false">-X7*Premissas!$B$37*Premissas!$B$36</f>
        <v>-10890.2790505837</v>
      </c>
      <c r="Y16" s="22" t="n">
        <f aca="false">-Y7*Premissas!$B$37*Premissas!$B$36</f>
        <v>-12197.1125366537</v>
      </c>
    </row>
    <row r="17" customFormat="false" ht="15" hidden="false" customHeight="false" outlineLevel="0" collapsed="false">
      <c r="A17" s="23" t="s">
        <v>263</v>
      </c>
      <c r="B17" s="21" t="n">
        <f aca="false">B14+B15+B16</f>
        <v>-1711.0034452</v>
      </c>
      <c r="C17" s="21" t="n">
        <f aca="false">C14+C15+C16</f>
        <v>-1649.55340786</v>
      </c>
      <c r="D17" s="21" t="n">
        <f aca="false">D14+D15+D16</f>
        <v>-1591.89653679268</v>
      </c>
      <c r="E17" s="21" t="n">
        <f aca="false">E14+E15+E16</f>
        <v>-1537.70630999802</v>
      </c>
      <c r="F17" s="21" t="n">
        <f aca="false">F14+F15+F16</f>
        <v>-1486.67174197268</v>
      </c>
      <c r="G17" s="21" t="n">
        <f aca="false">G14+G15+G16</f>
        <v>-1438.49541775006</v>
      </c>
      <c r="H17" s="21" t="n">
        <f aca="false">H14+H15+H16</f>
        <v>-1392.89155914888</v>
      </c>
      <c r="I17" s="21" t="n">
        <f aca="false">I14+I15+I16</f>
        <v>-1349.58410832674</v>
      </c>
      <c r="J17" s="21" t="n">
        <f aca="false">J14+J15+J16</f>
        <v>-1308.30481326035</v>
      </c>
      <c r="K17" s="21" t="n">
        <f aca="false">K14+K15+K16</f>
        <v>-1268.79129915058</v>
      </c>
      <c r="L17" s="21" t="n">
        <f aca="false">L14+L15+L16</f>
        <v>-1230.78510896671</v>
      </c>
      <c r="M17" s="21" t="n">
        <f aca="false">M14+M15+M16</f>
        <v>-1194.0296953865</v>
      </c>
      <c r="N17" s="21" t="n">
        <f aca="false">N14+N15+N16</f>
        <v>-1158.26834524261</v>
      </c>
      <c r="O17" s="21" t="n">
        <f aca="false">O14+O15+O16</f>
        <v>-1123.24201623278</v>
      </c>
      <c r="P17" s="21" t="n">
        <f aca="false">P14+P15+P16</f>
        <v>-1088.68706407248</v>
      </c>
      <c r="Q17" s="21" t="n">
        <f aca="false">Q14+Q15+Q16</f>
        <v>-1054.33283644053</v>
      </c>
      <c r="R17" s="21" t="n">
        <f aca="false">R14+R15+R16</f>
        <v>-2645.75510796519</v>
      </c>
      <c r="S17" s="21" t="n">
        <f aca="false">S14+S15+S16</f>
        <v>-2610.94932809218</v>
      </c>
      <c r="T17" s="21" t="n">
        <f aca="false">T14+T15+T16</f>
        <v>-2575.46365093243</v>
      </c>
      <c r="U17" s="21" t="n">
        <f aca="false">U14+U15+U16</f>
        <v>-2538.97171307067</v>
      </c>
      <c r="V17" s="21" t="n">
        <f aca="false">V14+V15+V16</f>
        <v>-2501.12512178365</v>
      </c>
      <c r="W17" s="21" t="n">
        <f aca="false">W14+W15+W16</f>
        <v>-2461.54961212208</v>
      </c>
      <c r="X17" s="21" t="n">
        <f aca="false">X14+X15+X16</f>
        <v>-2419.8408268004</v>
      </c>
      <c r="Y17" s="21" t="n">
        <f aca="false">Y14+Y15+Y16</f>
        <v>-2375.55966775447</v>
      </c>
    </row>
    <row r="18" customFormat="false" ht="15" hidden="false" customHeight="false" outlineLevel="0" collapsed="false">
      <c r="A18" s="23" t="s">
        <v>264</v>
      </c>
      <c r="B18" s="21" t="n">
        <f aca="false">B17</f>
        <v>-1711.0034452</v>
      </c>
      <c r="C18" s="21" t="n">
        <f aca="false">B18+C17</f>
        <v>-3360.55685306</v>
      </c>
      <c r="D18" s="21" t="n">
        <f aca="false">C18+D17</f>
        <v>-4952.45338985268</v>
      </c>
      <c r="E18" s="21" t="n">
        <f aca="false">D18+E17</f>
        <v>-6490.1596998507</v>
      </c>
      <c r="F18" s="21" t="n">
        <f aca="false">E18+F17</f>
        <v>-7976.83144182338</v>
      </c>
      <c r="G18" s="21" t="n">
        <f aca="false">F18+G17</f>
        <v>-9415.32685957344</v>
      </c>
      <c r="H18" s="21" t="n">
        <f aca="false">G18+H17</f>
        <v>-10808.2184187223</v>
      </c>
      <c r="I18" s="21" t="n">
        <f aca="false">H18+I17</f>
        <v>-12157.8025270491</v>
      </c>
      <c r="J18" s="21" t="n">
        <f aca="false">I18+J17</f>
        <v>-13466.1073403094</v>
      </c>
      <c r="K18" s="21" t="n">
        <f aca="false">J18+K17</f>
        <v>-14734.89863946</v>
      </c>
      <c r="L18" s="21" t="n">
        <f aca="false">K18+L17</f>
        <v>-15965.6837484267</v>
      </c>
      <c r="M18" s="21" t="n">
        <f aca="false">L18+M17</f>
        <v>-17159.7134438132</v>
      </c>
      <c r="N18" s="21" t="n">
        <f aca="false">M18+N17</f>
        <v>-18317.9817890558</v>
      </c>
      <c r="O18" s="21" t="n">
        <f aca="false">N18+O17</f>
        <v>-19441.2238052886</v>
      </c>
      <c r="P18" s="21" t="n">
        <f aca="false">O18+P17</f>
        <v>-20529.9108693611</v>
      </c>
      <c r="Q18" s="21" t="n">
        <f aca="false">P18+Q17</f>
        <v>-21584.2437058016</v>
      </c>
      <c r="R18" s="21" t="n">
        <f aca="false">Q18+R17</f>
        <v>-24229.9988137668</v>
      </c>
      <c r="S18" s="21" t="n">
        <f aca="false">R18+S17</f>
        <v>-26840.948141859</v>
      </c>
      <c r="T18" s="21" t="n">
        <f aca="false">S18+T17</f>
        <v>-29416.4117927914</v>
      </c>
      <c r="U18" s="21" t="n">
        <f aca="false">T18+U17</f>
        <v>-31955.3835058621</v>
      </c>
      <c r="V18" s="21" t="n">
        <f aca="false">U18+V17</f>
        <v>-34456.5086276457</v>
      </c>
      <c r="W18" s="21" t="n">
        <f aca="false">V18+W17</f>
        <v>-36918.0582397678</v>
      </c>
      <c r="X18" s="21" t="n">
        <f aca="false">W18+X17</f>
        <v>-39337.8990665682</v>
      </c>
      <c r="Y18" s="21" t="n">
        <f aca="false">X18+Y17</f>
        <v>-41713.4587343227</v>
      </c>
    </row>
    <row r="21" customFormat="false" ht="15" hidden="false" customHeight="false" outlineLevel="0" collapsed="false">
      <c r="A21" s="3" t="s">
        <v>265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0" t="s">
        <v>226</v>
      </c>
      <c r="B22" s="17" t="n">
        <v>40</v>
      </c>
      <c r="D22" s="10" t="s">
        <v>227</v>
      </c>
      <c r="E22" s="13" t="n">
        <v>0.15</v>
      </c>
    </row>
    <row r="23" customFormat="false" ht="27.75" hidden="false" customHeight="true" outlineLevel="0" collapsed="false">
      <c r="A23" s="7" t="s">
        <v>228</v>
      </c>
      <c r="B23" s="7" t="s">
        <v>229</v>
      </c>
      <c r="C23" s="7" t="s">
        <v>230</v>
      </c>
      <c r="D23" s="7" t="s">
        <v>231</v>
      </c>
      <c r="E23" s="7" t="s">
        <v>232</v>
      </c>
      <c r="F23" s="7" t="s">
        <v>233</v>
      </c>
      <c r="G23" s="7" t="s">
        <v>234</v>
      </c>
      <c r="H23" s="7" t="s">
        <v>235</v>
      </c>
      <c r="I23" s="7" t="s">
        <v>236</v>
      </c>
      <c r="J23" s="7" t="s">
        <v>237</v>
      </c>
      <c r="K23" s="7" t="s">
        <v>238</v>
      </c>
      <c r="L23" s="7" t="s">
        <v>239</v>
      </c>
      <c r="M23" s="7" t="s">
        <v>240</v>
      </c>
      <c r="N23" s="7" t="s">
        <v>241</v>
      </c>
      <c r="O23" s="7" t="s">
        <v>242</v>
      </c>
      <c r="P23" s="7" t="s">
        <v>243</v>
      </c>
      <c r="Q23" s="7" t="s">
        <v>244</v>
      </c>
      <c r="R23" s="7" t="s">
        <v>245</v>
      </c>
      <c r="S23" s="7" t="s">
        <v>246</v>
      </c>
      <c r="T23" s="7" t="s">
        <v>247</v>
      </c>
      <c r="U23" s="7" t="s">
        <v>248</v>
      </c>
      <c r="V23" s="7" t="s">
        <v>249</v>
      </c>
      <c r="W23" s="7" t="s">
        <v>250</v>
      </c>
      <c r="X23" s="7" t="s">
        <v>251</v>
      </c>
      <c r="Y23" s="7" t="s">
        <v>252</v>
      </c>
    </row>
    <row r="24" customFormat="false" ht="15" hidden="false" customHeight="false" outlineLevel="0" collapsed="false">
      <c r="A24" s="10" t="s">
        <v>253</v>
      </c>
      <c r="B24" s="32" t="n">
        <f aca="false">$B$22</f>
        <v>40</v>
      </c>
      <c r="C24" s="32" t="n">
        <f aca="false">B24*(1+$E$22)</f>
        <v>46</v>
      </c>
      <c r="D24" s="32" t="n">
        <f aca="false">C24*(1+$E$22)</f>
        <v>52.9</v>
      </c>
      <c r="E24" s="32" t="n">
        <f aca="false">D24*(1+$E$22)</f>
        <v>60.835</v>
      </c>
      <c r="F24" s="32" t="n">
        <f aca="false">E24*(1+$E$22)</f>
        <v>69.96025</v>
      </c>
      <c r="G24" s="32" t="n">
        <f aca="false">F24*(1+$E$22)</f>
        <v>80.4542875</v>
      </c>
      <c r="H24" s="32" t="n">
        <f aca="false">G24*(1+$E$22)</f>
        <v>92.522430625</v>
      </c>
      <c r="I24" s="32" t="n">
        <f aca="false">H24*(1+$E$22)</f>
        <v>106.40079521875</v>
      </c>
      <c r="J24" s="32" t="n">
        <f aca="false">I24*(1+$E$22)</f>
        <v>122.360914501562</v>
      </c>
      <c r="K24" s="32" t="n">
        <f aca="false">J24*(1+$E$22)</f>
        <v>140.715051676797</v>
      </c>
      <c r="L24" s="32" t="n">
        <f aca="false">K24*(1+$E$22)</f>
        <v>161.822309428316</v>
      </c>
      <c r="M24" s="32" t="n">
        <f aca="false">L24*(1+$E$22)</f>
        <v>186.095655842564</v>
      </c>
      <c r="N24" s="32" t="n">
        <f aca="false">M24*(1+$E$22)</f>
        <v>214.010004218948</v>
      </c>
      <c r="O24" s="32" t="n">
        <f aca="false">N24*(1+$E$22)</f>
        <v>246.111504851791</v>
      </c>
      <c r="P24" s="32" t="n">
        <f aca="false">O24*(1+$E$22)</f>
        <v>283.028230579559</v>
      </c>
      <c r="Q24" s="32" t="n">
        <f aca="false">P24*(1+$E$22)</f>
        <v>325.482465166493</v>
      </c>
      <c r="R24" s="32" t="n">
        <f aca="false">Q24*(1+$E$22)</f>
        <v>374.304834941467</v>
      </c>
      <c r="S24" s="32" t="n">
        <f aca="false">R24*(1+$E$22)</f>
        <v>430.450560182687</v>
      </c>
      <c r="T24" s="32" t="n">
        <f aca="false">S24*(1+$E$22)</f>
        <v>495.01814421009</v>
      </c>
      <c r="U24" s="32" t="n">
        <f aca="false">T24*(1+$E$22)</f>
        <v>569.270865841603</v>
      </c>
      <c r="V24" s="32" t="n">
        <f aca="false">U24*(1+$E$22)</f>
        <v>654.661495717844</v>
      </c>
      <c r="W24" s="32" t="n">
        <f aca="false">V24*(1+$E$22)</f>
        <v>752.86072007552</v>
      </c>
      <c r="X24" s="32" t="n">
        <f aca="false">W24*(1+$E$22)</f>
        <v>865.789828086848</v>
      </c>
      <c r="Y24" s="32" t="n">
        <f aca="false">X24*(1+$E$22)</f>
        <v>995.658302299876</v>
      </c>
    </row>
    <row r="25" customFormat="false" ht="15" hidden="false" customHeight="false" outlineLevel="0" collapsed="false">
      <c r="A25" s="10" t="s">
        <v>254</v>
      </c>
      <c r="B25" s="32" t="n">
        <f aca="false">0</f>
        <v>0</v>
      </c>
      <c r="C25" s="32" t="n">
        <f aca="false">B27</f>
        <v>40</v>
      </c>
      <c r="D25" s="32" t="n">
        <f aca="false">C27</f>
        <v>83.2</v>
      </c>
      <c r="E25" s="32" t="n">
        <f aca="false">D27</f>
        <v>130.276</v>
      </c>
      <c r="F25" s="32" t="n">
        <f aca="false">E27</f>
        <v>181.99168</v>
      </c>
      <c r="G25" s="32" t="n">
        <f aca="false">F27</f>
        <v>239.2125124</v>
      </c>
      <c r="H25" s="32" t="n">
        <f aca="false">G27</f>
        <v>302.921924032</v>
      </c>
      <c r="I25" s="32" t="n">
        <f aca="false">H27</f>
        <v>374.23981997476</v>
      </c>
      <c r="J25" s="32" t="n">
        <f aca="false">I27</f>
        <v>454.443827795277</v>
      </c>
      <c r="K25" s="32" t="n">
        <f aca="false">J27</f>
        <v>544.99367435117</v>
      </c>
      <c r="L25" s="32" t="n">
        <f aca="false">K27</f>
        <v>647.559168823385</v>
      </c>
      <c r="M25" s="32" t="n">
        <f aca="false">L27</f>
        <v>764.052336434064</v>
      </c>
      <c r="N25" s="32" t="n">
        <f aca="false">M27</f>
        <v>896.664328726243</v>
      </c>
      <c r="O25" s="32" t="n">
        <f aca="false">N27</f>
        <v>1047.90782993435</v>
      </c>
      <c r="P25" s="32" t="n">
        <f aca="false">O27</f>
        <v>1220.66578669074</v>
      </c>
      <c r="Q25" s="32" t="n">
        <f aca="false">P27</f>
        <v>1418.24741220195</v>
      </c>
      <c r="R25" s="32" t="n">
        <f aca="false">Q27</f>
        <v>1644.4525585143</v>
      </c>
      <c r="S25" s="32" t="n">
        <f aca="false">R27</f>
        <v>1903.64571435977</v>
      </c>
      <c r="T25" s="32" t="n">
        <f aca="false">S27</f>
        <v>2200.84107453727</v>
      </c>
      <c r="U25" s="32" t="n">
        <f aca="false">T27</f>
        <v>2541.80034352975</v>
      </c>
      <c r="V25" s="32" t="n">
        <f aca="false">U27</f>
        <v>2933.14518532427</v>
      </c>
      <c r="W25" s="32" t="n">
        <f aca="false">V27</f>
        <v>3382.48651806942</v>
      </c>
      <c r="X25" s="32" t="n">
        <f aca="false">W27</f>
        <v>3898.57318188008</v>
      </c>
      <c r="Y25" s="32" t="n">
        <f aca="false">X27</f>
        <v>4491.46288723532</v>
      </c>
    </row>
    <row r="26" customFormat="false" ht="15" hidden="false" customHeight="false" outlineLevel="0" collapsed="false">
      <c r="A26" s="10" t="s">
        <v>255</v>
      </c>
      <c r="B26" s="32" t="n">
        <f aca="false">-B25*Premissas!$B$38</f>
        <v>-0</v>
      </c>
      <c r="C26" s="32" t="n">
        <f aca="false">-C25*Premissas!$B$38</f>
        <v>-2.8</v>
      </c>
      <c r="D26" s="32" t="n">
        <f aca="false">-D25*Premissas!$B$38</f>
        <v>-5.824</v>
      </c>
      <c r="E26" s="32" t="n">
        <f aca="false">-E25*Premissas!$B$38</f>
        <v>-9.11932</v>
      </c>
      <c r="F26" s="32" t="n">
        <f aca="false">-F25*Premissas!$B$38</f>
        <v>-12.7394176</v>
      </c>
      <c r="G26" s="32" t="n">
        <f aca="false">-G25*Premissas!$B$38</f>
        <v>-16.744875868</v>
      </c>
      <c r="H26" s="32" t="n">
        <f aca="false">-H25*Premissas!$B$38</f>
        <v>-21.20453468224</v>
      </c>
      <c r="I26" s="32" t="n">
        <f aca="false">-I25*Premissas!$B$38</f>
        <v>-26.1967873982332</v>
      </c>
      <c r="J26" s="32" t="n">
        <f aca="false">-J25*Premissas!$B$38</f>
        <v>-31.8110679456694</v>
      </c>
      <c r="K26" s="32" t="n">
        <f aca="false">-K25*Premissas!$B$38</f>
        <v>-38.1495572045819</v>
      </c>
      <c r="L26" s="32" t="n">
        <f aca="false">-L25*Premissas!$B$38</f>
        <v>-45.3291418176369</v>
      </c>
      <c r="M26" s="32" t="n">
        <f aca="false">-M25*Premissas!$B$38</f>
        <v>-53.4836635503845</v>
      </c>
      <c r="N26" s="32" t="n">
        <f aca="false">-N25*Premissas!$B$38</f>
        <v>-62.766503010837</v>
      </c>
      <c r="O26" s="32" t="n">
        <f aca="false">-O25*Premissas!$B$38</f>
        <v>-73.3535480954048</v>
      </c>
      <c r="P26" s="32" t="n">
        <f aca="false">-P25*Premissas!$B$38</f>
        <v>-85.4466050683518</v>
      </c>
      <c r="Q26" s="32" t="n">
        <f aca="false">-Q25*Premissas!$B$38</f>
        <v>-99.2773188541363</v>
      </c>
      <c r="R26" s="32" t="n">
        <f aca="false">-R25*Premissas!$B$38</f>
        <v>-115.111679096001</v>
      </c>
      <c r="S26" s="32" t="n">
        <f aca="false">-S25*Premissas!$B$38</f>
        <v>-133.255200005184</v>
      </c>
      <c r="T26" s="32" t="n">
        <f aca="false">-T25*Premissas!$B$38</f>
        <v>-154.058875217609</v>
      </c>
      <c r="U26" s="32" t="n">
        <f aca="false">-U25*Premissas!$B$38</f>
        <v>-177.926024047083</v>
      </c>
      <c r="V26" s="32" t="n">
        <f aca="false">-V25*Premissas!$B$38</f>
        <v>-205.320162972699</v>
      </c>
      <c r="W26" s="32" t="n">
        <f aca="false">-W25*Premissas!$B$38</f>
        <v>-236.774056264859</v>
      </c>
      <c r="X26" s="32" t="n">
        <f aca="false">-X25*Premissas!$B$38</f>
        <v>-272.900122731606</v>
      </c>
      <c r="Y26" s="32" t="n">
        <f aca="false">-Y25*Premissas!$B$38</f>
        <v>-314.402402106473</v>
      </c>
    </row>
    <row r="27" customFormat="false" ht="15" hidden="false" customHeight="false" outlineLevel="0" collapsed="false">
      <c r="A27" s="5" t="s">
        <v>256</v>
      </c>
      <c r="B27" s="33" t="n">
        <f aca="false">B25+B26+B24</f>
        <v>40</v>
      </c>
      <c r="C27" s="33" t="n">
        <f aca="false">C25+C26+C24</f>
        <v>83.2</v>
      </c>
      <c r="D27" s="33" t="n">
        <f aca="false">D25+D26+D24</f>
        <v>130.276</v>
      </c>
      <c r="E27" s="33" t="n">
        <f aca="false">E25+E26+E24</f>
        <v>181.99168</v>
      </c>
      <c r="F27" s="33" t="n">
        <f aca="false">F25+F26+F24</f>
        <v>239.2125124</v>
      </c>
      <c r="G27" s="33" t="n">
        <f aca="false">G25+G26+G24</f>
        <v>302.921924032</v>
      </c>
      <c r="H27" s="33" t="n">
        <f aca="false">H25+H26+H24</f>
        <v>374.23981997476</v>
      </c>
      <c r="I27" s="33" t="n">
        <f aca="false">I25+I26+I24</f>
        <v>454.443827795277</v>
      </c>
      <c r="J27" s="33" t="n">
        <f aca="false">J25+J26+J24</f>
        <v>544.99367435117</v>
      </c>
      <c r="K27" s="33" t="n">
        <f aca="false">K25+K26+K24</f>
        <v>647.559168823385</v>
      </c>
      <c r="L27" s="33" t="n">
        <f aca="false">L25+L26+L24</f>
        <v>764.052336434064</v>
      </c>
      <c r="M27" s="33" t="n">
        <f aca="false">M25+M26+M24</f>
        <v>896.664328726243</v>
      </c>
      <c r="N27" s="33" t="n">
        <f aca="false">N25+N26+N24</f>
        <v>1047.90782993435</v>
      </c>
      <c r="O27" s="33" t="n">
        <f aca="false">O25+O26+O24</f>
        <v>1220.66578669074</v>
      </c>
      <c r="P27" s="33" t="n">
        <f aca="false">P25+P26+P24</f>
        <v>1418.24741220195</v>
      </c>
      <c r="Q27" s="33" t="n">
        <f aca="false">Q25+Q26+Q24</f>
        <v>1644.4525585143</v>
      </c>
      <c r="R27" s="33" t="n">
        <f aca="false">R25+R26+R24</f>
        <v>1903.64571435977</v>
      </c>
      <c r="S27" s="33" t="n">
        <f aca="false">S25+S26+S24</f>
        <v>2200.84107453727</v>
      </c>
      <c r="T27" s="33" t="n">
        <f aca="false">T25+T26+T24</f>
        <v>2541.80034352975</v>
      </c>
      <c r="U27" s="33" t="n">
        <f aca="false">U25+U26+U24</f>
        <v>2933.14518532427</v>
      </c>
      <c r="V27" s="33" t="n">
        <f aca="false">V25+V26+V24</f>
        <v>3382.48651806942</v>
      </c>
      <c r="W27" s="33" t="n">
        <f aca="false">W25+W26+W24</f>
        <v>3898.57318188008</v>
      </c>
      <c r="X27" s="33" t="n">
        <f aca="false">X25+X26+X24</f>
        <v>4491.46288723532</v>
      </c>
      <c r="Y27" s="33" t="n">
        <f aca="false">Y25+Y26+Y24</f>
        <v>5172.71878742873</v>
      </c>
    </row>
    <row r="28" customFormat="false" ht="15" hidden="false" customHeight="false" outlineLevel="0" collapsed="false">
      <c r="A28" s="10" t="s">
        <v>257</v>
      </c>
      <c r="B28" s="32" t="n">
        <f aca="false">(B25+B27)/2</f>
        <v>20</v>
      </c>
      <c r="C28" s="32" t="n">
        <f aca="false">(C25+C27)/2</f>
        <v>61.6</v>
      </c>
      <c r="D28" s="32" t="n">
        <f aca="false">(D25+D27)/2</f>
        <v>106.738</v>
      </c>
      <c r="E28" s="32" t="n">
        <f aca="false">(E25+E27)/2</f>
        <v>156.13384</v>
      </c>
      <c r="F28" s="32" t="n">
        <f aca="false">(F25+F27)/2</f>
        <v>210.6020962</v>
      </c>
      <c r="G28" s="32" t="n">
        <f aca="false">(G25+G27)/2</f>
        <v>271.067218216</v>
      </c>
      <c r="H28" s="32" t="n">
        <f aca="false">(H25+H27)/2</f>
        <v>338.58087200338</v>
      </c>
      <c r="I28" s="32" t="n">
        <f aca="false">(I25+I27)/2</f>
        <v>414.341823885018</v>
      </c>
      <c r="J28" s="32" t="n">
        <f aca="false">(J25+J27)/2</f>
        <v>499.718751073223</v>
      </c>
      <c r="K28" s="32" t="n">
        <f aca="false">(K25+K27)/2</f>
        <v>596.276421587277</v>
      </c>
      <c r="L28" s="32" t="n">
        <f aca="false">(L25+L27)/2</f>
        <v>705.805752628724</v>
      </c>
      <c r="M28" s="32" t="n">
        <f aca="false">(M25+M27)/2</f>
        <v>830.358332580154</v>
      </c>
      <c r="N28" s="32" t="n">
        <f aca="false">(N25+N27)/2</f>
        <v>972.286079330299</v>
      </c>
      <c r="O28" s="32" t="n">
        <f aca="false">(O25+O27)/2</f>
        <v>1134.28680831255</v>
      </c>
      <c r="P28" s="32" t="n">
        <f aca="false">(P25+P27)/2</f>
        <v>1319.45659944634</v>
      </c>
      <c r="Q28" s="32" t="n">
        <f aca="false">(Q25+Q27)/2</f>
        <v>1531.34998535813</v>
      </c>
      <c r="R28" s="32" t="n">
        <f aca="false">(R25+R27)/2</f>
        <v>1774.04913643704</v>
      </c>
      <c r="S28" s="32" t="n">
        <f aca="false">(S25+S27)/2</f>
        <v>2052.24339444852</v>
      </c>
      <c r="T28" s="32" t="n">
        <f aca="false">(T25+T27)/2</f>
        <v>2371.32070903351</v>
      </c>
      <c r="U28" s="32" t="n">
        <f aca="false">(U25+U27)/2</f>
        <v>2737.47276442701</v>
      </c>
      <c r="V28" s="32" t="n">
        <f aca="false">(V25+V27)/2</f>
        <v>3157.81585169685</v>
      </c>
      <c r="W28" s="32" t="n">
        <f aca="false">(W25+W27)/2</f>
        <v>3640.52984997475</v>
      </c>
      <c r="X28" s="32" t="n">
        <f aca="false">(X25+X27)/2</f>
        <v>4195.0180345577</v>
      </c>
      <c r="Y28" s="32" t="n">
        <f aca="false">(Y25+Y27)/2</f>
        <v>4832.09083733202</v>
      </c>
    </row>
    <row r="29" customFormat="false" ht="15" hidden="false" customHeight="false" outlineLevel="0" collapsed="false">
      <c r="A29" s="5" t="s">
        <v>258</v>
      </c>
      <c r="B29" s="21" t="n">
        <f aca="false">B28*Premissas!$B$16</f>
        <v>458</v>
      </c>
      <c r="C29" s="21" t="n">
        <f aca="false">C28*Premissas!$B$16</f>
        <v>1410.64</v>
      </c>
      <c r="D29" s="21" t="n">
        <f aca="false">D28*Premissas!$B$16</f>
        <v>2444.3002</v>
      </c>
      <c r="E29" s="21" t="n">
        <f aca="false">E28*Premissas!$B$16</f>
        <v>3575.464936</v>
      </c>
      <c r="F29" s="21" t="n">
        <f aca="false">F28*Premissas!$B$16</f>
        <v>4822.78800298</v>
      </c>
      <c r="G29" s="21" t="n">
        <f aca="false">G28*Premissas!$B$16</f>
        <v>6207.4392971464</v>
      </c>
      <c r="H29" s="21" t="n">
        <f aca="false">H28*Premissas!$B$16</f>
        <v>7753.5019688774</v>
      </c>
      <c r="I29" s="21" t="n">
        <f aca="false">I28*Premissas!$B$16</f>
        <v>9488.42776696692</v>
      </c>
      <c r="J29" s="21" t="n">
        <f aca="false">J28*Premissas!$B$16</f>
        <v>11443.5593995768</v>
      </c>
      <c r="K29" s="21" t="n">
        <f aca="false">K28*Premissas!$B$16</f>
        <v>13654.7300543486</v>
      </c>
      <c r="L29" s="21" t="n">
        <f aca="false">L28*Premissas!$B$16</f>
        <v>16162.9517351978</v>
      </c>
      <c r="M29" s="21" t="n">
        <f aca="false">M28*Premissas!$B$16</f>
        <v>19015.2058160855</v>
      </c>
      <c r="N29" s="21" t="n">
        <f aca="false">N28*Premissas!$B$16</f>
        <v>22265.3512166638</v>
      </c>
      <c r="O29" s="21" t="n">
        <f aca="false">O28*Premissas!$B$16</f>
        <v>25975.1679103573</v>
      </c>
      <c r="P29" s="21" t="n">
        <f aca="false">P28*Premissas!$B$16</f>
        <v>30215.5561273213</v>
      </c>
      <c r="Q29" s="21" t="n">
        <f aca="false">Q28*Premissas!$B$16</f>
        <v>35067.9146647011</v>
      </c>
      <c r="R29" s="21" t="n">
        <f aca="false">R28*Premissas!$B$16</f>
        <v>40625.7252244081</v>
      </c>
      <c r="S29" s="21" t="n">
        <f aca="false">S28*Premissas!$B$16</f>
        <v>46996.3737328711</v>
      </c>
      <c r="T29" s="21" t="n">
        <f aca="false">T28*Premissas!$B$16</f>
        <v>54303.2442368674</v>
      </c>
      <c r="U29" s="21" t="n">
        <f aca="false">U28*Premissas!$B$16</f>
        <v>62688.1263053786</v>
      </c>
      <c r="V29" s="21" t="n">
        <f aca="false">V28*Premissas!$B$16</f>
        <v>72313.9830038578</v>
      </c>
      <c r="W29" s="21" t="n">
        <f aca="false">W28*Premissas!$B$16</f>
        <v>83368.1335644218</v>
      </c>
      <c r="X29" s="21" t="n">
        <f aca="false">X28*Premissas!$B$16</f>
        <v>96065.9129913713</v>
      </c>
      <c r="Y29" s="21" t="n">
        <f aca="false">Y28*Premissas!$B$16</f>
        <v>110654.880174903</v>
      </c>
    </row>
    <row r="30" customFormat="false" ht="15" hidden="false" customHeight="false" outlineLevel="0" collapsed="false">
      <c r="A30" s="10" t="s">
        <v>259</v>
      </c>
      <c r="B30" s="22" t="n">
        <f aca="false">-B28*('Unit Economics'!$D$5-'Unit Economics'!$D$11)</f>
        <v>-237.5771872</v>
      </c>
      <c r="C30" s="22" t="n">
        <f aca="false">-C28*('Unit Economics'!$D$5-'Unit Economics'!$D$11)</f>
        <v>-731.737736576</v>
      </c>
      <c r="D30" s="22" t="n">
        <f aca="false">-D28*('Unit Economics'!$D$5-'Unit Economics'!$D$11)</f>
        <v>-1267.92569036768</v>
      </c>
      <c r="E30" s="22" t="n">
        <f aca="false">-E28*('Unit Economics'!$D$5-'Unit Economics'!$D$11)</f>
        <v>-1854.69192669674</v>
      </c>
      <c r="F30" s="22" t="n">
        <f aca="false">-F28*('Unit Economics'!$D$5-'Unit Economics'!$D$11)</f>
        <v>-2501.71268168099</v>
      </c>
      <c r="G30" s="22" t="n">
        <f aca="false">-G28*('Unit Economics'!$D$5-'Unit Economics'!$D$11)</f>
        <v>-3219.96936229429</v>
      </c>
      <c r="H30" s="22" t="n">
        <f aca="false">-H28*('Unit Economics'!$D$5-'Unit Economics'!$D$11)</f>
        <v>-4021.95456051431</v>
      </c>
      <c r="I30" s="22" t="n">
        <f aca="false">-I28*('Unit Economics'!$D$5-'Unit Economics'!$D$11)</f>
        <v>-4921.90825289602</v>
      </c>
      <c r="J30" s="22" t="n">
        <f aca="false">-J28*('Unit Economics'!$D$5-'Unit Economics'!$D$11)</f>
        <v>-5936.08876355367</v>
      </c>
      <c r="K30" s="22" t="n">
        <f aca="false">-K28*('Unit Economics'!$D$5-'Unit Economics'!$D$11)</f>
        <v>-7083.08375171933</v>
      </c>
      <c r="L30" s="22" t="n">
        <f aca="false">-L28*('Unit Economics'!$D$5-'Unit Economics'!$D$11)</f>
        <v>-8384.16727095557</v>
      </c>
      <c r="M30" s="22" t="n">
        <f aca="false">-M28*('Unit Economics'!$D$5-'Unit Economics'!$D$11)</f>
        <v>-9863.70985112375</v>
      </c>
      <c r="N30" s="22" t="n">
        <f aca="false">-N28*('Unit Economics'!$D$5-'Unit Economics'!$D$11)</f>
        <v>-11549.6495940504</v>
      </c>
      <c r="O30" s="22" t="n">
        <f aca="false">-O28*('Unit Economics'!$D$5-'Unit Economics'!$D$11)</f>
        <v>-13474.033469848</v>
      </c>
      <c r="P30" s="22" t="n">
        <f aca="false">-P28*('Unit Economics'!$D$5-'Unit Economics'!$D$11)</f>
        <v>-15673.639376447</v>
      </c>
      <c r="Q30" s="22" t="n">
        <f aca="false">-Q28*('Unit Economics'!$D$5-'Unit Economics'!$D$11)</f>
        <v>-18190.6911070072</v>
      </c>
      <c r="R30" s="22" t="n">
        <f aca="false">-R28*('Unit Economics'!$D$5-'Unit Economics'!$D$11)</f>
        <v>-21073.680189465</v>
      </c>
      <c r="S30" s="22" t="n">
        <f aca="false">-S28*('Unit Economics'!$D$5-'Unit Economics'!$D$11)</f>
        <v>-24378.310655143</v>
      </c>
      <c r="T30" s="22" t="n">
        <f aca="false">-T28*('Unit Economics'!$D$5-'Unit Economics'!$D$11)</f>
        <v>-28168.5852000646</v>
      </c>
      <c r="U30" s="22" t="n">
        <f aca="false">-U28*('Unit Economics'!$D$5-'Unit Economics'!$D$11)</f>
        <v>-32518.0539704589</v>
      </c>
      <c r="V30" s="22" t="n">
        <f aca="false">-V28*('Unit Economics'!$D$5-'Unit Economics'!$D$11)</f>
        <v>-37511.2503870855</v>
      </c>
      <c r="W30" s="22" t="n">
        <f aca="false">-W28*('Unit Economics'!$D$5-'Unit Economics'!$D$11)</f>
        <v>-43245.3420837319</v>
      </c>
      <c r="X30" s="22" t="n">
        <f aca="false">-X28*('Unit Economics'!$D$5-'Unit Economics'!$D$11)</f>
        <v>-49832.0292451745</v>
      </c>
      <c r="Y30" s="22" t="n">
        <f aca="false">-Y28*('Unit Economics'!$D$5-'Unit Economics'!$D$11)</f>
        <v>-57399.7274714117</v>
      </c>
    </row>
    <row r="31" customFormat="false" ht="15" hidden="false" customHeight="false" outlineLevel="0" collapsed="false">
      <c r="A31" s="5" t="s">
        <v>260</v>
      </c>
      <c r="B31" s="21" t="n">
        <f aca="false">B29+B30</f>
        <v>220.4228128</v>
      </c>
      <c r="C31" s="21" t="n">
        <f aca="false">C29+C30</f>
        <v>678.902263424</v>
      </c>
      <c r="D31" s="21" t="n">
        <f aca="false">D29+D30</f>
        <v>1176.37450963232</v>
      </c>
      <c r="E31" s="21" t="n">
        <f aca="false">E29+E30</f>
        <v>1720.77300930326</v>
      </c>
      <c r="F31" s="21" t="n">
        <f aca="false">F29+F30</f>
        <v>2321.07532129901</v>
      </c>
      <c r="G31" s="21" t="n">
        <f aca="false">G29+G30</f>
        <v>2987.46993485211</v>
      </c>
      <c r="H31" s="21" t="n">
        <f aca="false">H29+H30</f>
        <v>3731.54740836309</v>
      </c>
      <c r="I31" s="21" t="n">
        <f aca="false">I29+I30</f>
        <v>4566.5195140709</v>
      </c>
      <c r="J31" s="21" t="n">
        <f aca="false">J29+J30</f>
        <v>5507.47063602314</v>
      </c>
      <c r="K31" s="21" t="n">
        <f aca="false">K29+K30</f>
        <v>6571.64630262931</v>
      </c>
      <c r="L31" s="21" t="n">
        <f aca="false">L29+L30</f>
        <v>7778.78446424222</v>
      </c>
      <c r="M31" s="21" t="n">
        <f aca="false">M29+M30</f>
        <v>9151.49596496177</v>
      </c>
      <c r="N31" s="21" t="n">
        <f aca="false">N29+N30</f>
        <v>10715.7016226134</v>
      </c>
      <c r="O31" s="21" t="n">
        <f aca="false">O29+O30</f>
        <v>12501.1344405093</v>
      </c>
      <c r="P31" s="21" t="n">
        <f aca="false">P29+P30</f>
        <v>14541.9167508743</v>
      </c>
      <c r="Q31" s="21" t="n">
        <f aca="false">Q29+Q30</f>
        <v>16877.2235576938</v>
      </c>
      <c r="R31" s="21" t="n">
        <f aca="false">R29+R30</f>
        <v>19552.0450349431</v>
      </c>
      <c r="S31" s="21" t="n">
        <f aca="false">S29+S30</f>
        <v>22618.0630777281</v>
      </c>
      <c r="T31" s="21" t="n">
        <f aca="false">T29+T30</f>
        <v>26134.6590368029</v>
      </c>
      <c r="U31" s="21" t="n">
        <f aca="false">U29+U30</f>
        <v>30170.0723349197</v>
      </c>
      <c r="V31" s="21" t="n">
        <f aca="false">V29+V30</f>
        <v>34802.7326167723</v>
      </c>
      <c r="W31" s="21" t="n">
        <f aca="false">W29+W30</f>
        <v>40122.7914806898</v>
      </c>
      <c r="X31" s="21" t="n">
        <f aca="false">X29+X30</f>
        <v>46233.8837461968</v>
      </c>
      <c r="Y31" s="21" t="n">
        <f aca="false">Y29+Y30</f>
        <v>53255.1527034916</v>
      </c>
    </row>
    <row r="32" customFormat="false" ht="15" hidden="false" customHeight="false" outlineLevel="0" collapsed="false">
      <c r="A32" s="10" t="s">
        <v>261</v>
      </c>
      <c r="B32" s="22" t="n">
        <f aca="false">-INDEX('Custos Fixos'!$C$26:$C$29,MATCH(B27,'Custos Fixos'!$A$26:$A$29,1))</f>
        <v>-893.662</v>
      </c>
      <c r="C32" s="22" t="n">
        <f aca="false">-INDEX('Custos Fixos'!$C$26:$C$29,MATCH(C27,'Custos Fixos'!$A$26:$A$29,1))</f>
        <v>-893.662</v>
      </c>
      <c r="D32" s="22" t="n">
        <f aca="false">-INDEX('Custos Fixos'!$C$26:$C$29,MATCH(D27,'Custos Fixos'!$A$26:$A$29,1))</f>
        <v>-893.662</v>
      </c>
      <c r="E32" s="22" t="n">
        <f aca="false">-INDEX('Custos Fixos'!$C$26:$C$29,MATCH(E27,'Custos Fixos'!$A$26:$A$29,1))</f>
        <v>-893.662</v>
      </c>
      <c r="F32" s="22" t="n">
        <f aca="false">-INDEX('Custos Fixos'!$C$26:$C$29,MATCH(F27,'Custos Fixos'!$A$26:$A$29,1))</f>
        <v>-893.662</v>
      </c>
      <c r="G32" s="22" t="n">
        <f aca="false">-INDEX('Custos Fixos'!$C$26:$C$29,MATCH(G27,'Custos Fixos'!$A$26:$A$29,1))</f>
        <v>-893.662</v>
      </c>
      <c r="H32" s="22" t="n">
        <f aca="false">-INDEX('Custos Fixos'!$C$26:$C$29,MATCH(H27,'Custos Fixos'!$A$26:$A$29,1))</f>
        <v>-893.662</v>
      </c>
      <c r="I32" s="22" t="n">
        <f aca="false">-INDEX('Custos Fixos'!$C$26:$C$29,MATCH(I27,'Custos Fixos'!$A$26:$A$29,1))</f>
        <v>-893.662</v>
      </c>
      <c r="J32" s="22" t="n">
        <f aca="false">-INDEX('Custos Fixos'!$C$26:$C$29,MATCH(J27,'Custos Fixos'!$A$26:$A$29,1))</f>
        <v>-2519.518</v>
      </c>
      <c r="K32" s="22" t="n">
        <f aca="false">-INDEX('Custos Fixos'!$C$26:$C$29,MATCH(K27,'Custos Fixos'!$A$26:$A$29,1))</f>
        <v>-2519.518</v>
      </c>
      <c r="L32" s="22" t="n">
        <f aca="false">-INDEX('Custos Fixos'!$C$26:$C$29,MATCH(L27,'Custos Fixos'!$A$26:$A$29,1))</f>
        <v>-2519.518</v>
      </c>
      <c r="M32" s="22" t="n">
        <f aca="false">-INDEX('Custos Fixos'!$C$26:$C$29,MATCH(M27,'Custos Fixos'!$A$26:$A$29,1))</f>
        <v>-2519.518</v>
      </c>
      <c r="N32" s="22" t="n">
        <f aca="false">-INDEX('Custos Fixos'!$C$26:$C$29,MATCH(N27,'Custos Fixos'!$A$26:$A$29,1))</f>
        <v>-2519.518</v>
      </c>
      <c r="O32" s="22" t="n">
        <f aca="false">-INDEX('Custos Fixos'!$C$26:$C$29,MATCH(O27,'Custos Fixos'!$A$26:$A$29,1))</f>
        <v>-2519.518</v>
      </c>
      <c r="P32" s="22" t="n">
        <f aca="false">-INDEX('Custos Fixos'!$C$26:$C$29,MATCH(P27,'Custos Fixos'!$A$26:$A$29,1))</f>
        <v>-2519.518</v>
      </c>
      <c r="Q32" s="22" t="n">
        <f aca="false">-INDEX('Custos Fixos'!$C$26:$C$29,MATCH(Q27,'Custos Fixos'!$A$26:$A$29,1))</f>
        <v>-2519.518</v>
      </c>
      <c r="R32" s="22" t="n">
        <f aca="false">-INDEX('Custos Fixos'!$C$26:$C$29,MATCH(R27,'Custos Fixos'!$A$26:$A$29,1))</f>
        <v>-2519.518</v>
      </c>
      <c r="S32" s="22" t="n">
        <f aca="false">-INDEX('Custos Fixos'!$C$26:$C$29,MATCH(S27,'Custos Fixos'!$A$26:$A$29,1))</f>
        <v>-7066.39</v>
      </c>
      <c r="T32" s="22" t="n">
        <f aca="false">-INDEX('Custos Fixos'!$C$26:$C$29,MATCH(T27,'Custos Fixos'!$A$26:$A$29,1))</f>
        <v>-7066.39</v>
      </c>
      <c r="U32" s="22" t="n">
        <f aca="false">-INDEX('Custos Fixos'!$C$26:$C$29,MATCH(U27,'Custos Fixos'!$A$26:$A$29,1))</f>
        <v>-7066.39</v>
      </c>
      <c r="V32" s="22" t="n">
        <f aca="false">-INDEX('Custos Fixos'!$C$26:$C$29,MATCH(V27,'Custos Fixos'!$A$26:$A$29,1))</f>
        <v>-7066.39</v>
      </c>
      <c r="W32" s="22" t="n">
        <f aca="false">-INDEX('Custos Fixos'!$C$26:$C$29,MATCH(W27,'Custos Fixos'!$A$26:$A$29,1))</f>
        <v>-7066.39</v>
      </c>
      <c r="X32" s="22" t="n">
        <f aca="false">-INDEX('Custos Fixos'!$C$26:$C$29,MATCH(X27,'Custos Fixos'!$A$26:$A$29,1))</f>
        <v>-7066.39</v>
      </c>
      <c r="Y32" s="22" t="n">
        <f aca="false">-INDEX('Custos Fixos'!$C$26:$C$29,MATCH(Y27,'Custos Fixos'!$A$26:$A$29,1))</f>
        <v>-7066.39</v>
      </c>
    </row>
    <row r="33" customFormat="false" ht="15" hidden="false" customHeight="false" outlineLevel="0" collapsed="false">
      <c r="A33" s="10" t="s">
        <v>262</v>
      </c>
      <c r="B33" s="22" t="n">
        <f aca="false">-B24*Premissas!$B$37*Premissas!$B$36</f>
        <v>-2400</v>
      </c>
      <c r="C33" s="22" t="n">
        <f aca="false">-C24*Premissas!$B$37*Premissas!$B$36</f>
        <v>-2760</v>
      </c>
      <c r="D33" s="22" t="n">
        <f aca="false">-D24*Premissas!$B$37*Premissas!$B$36</f>
        <v>-3174</v>
      </c>
      <c r="E33" s="22" t="n">
        <f aca="false">-E24*Premissas!$B$37*Premissas!$B$36</f>
        <v>-3650.1</v>
      </c>
      <c r="F33" s="22" t="n">
        <f aca="false">-F24*Premissas!$B$37*Premissas!$B$36</f>
        <v>-4197.615</v>
      </c>
      <c r="G33" s="22" t="n">
        <f aca="false">-G24*Premissas!$B$37*Premissas!$B$36</f>
        <v>-4827.25725</v>
      </c>
      <c r="H33" s="22" t="n">
        <f aca="false">-H24*Premissas!$B$37*Premissas!$B$36</f>
        <v>-5551.3458375</v>
      </c>
      <c r="I33" s="22" t="n">
        <f aca="false">-I24*Premissas!$B$37*Premissas!$B$36</f>
        <v>-6384.047713125</v>
      </c>
      <c r="J33" s="22" t="n">
        <f aca="false">-J24*Premissas!$B$37*Premissas!$B$36</f>
        <v>-7341.65487009375</v>
      </c>
      <c r="K33" s="22" t="n">
        <f aca="false">-K24*Premissas!$B$37*Premissas!$B$36</f>
        <v>-8442.90310060781</v>
      </c>
      <c r="L33" s="22" t="n">
        <f aca="false">-L24*Premissas!$B$37*Premissas!$B$36</f>
        <v>-9709.33856569898</v>
      </c>
      <c r="M33" s="22" t="n">
        <f aca="false">-M24*Premissas!$B$37*Premissas!$B$36</f>
        <v>-11165.7393505538</v>
      </c>
      <c r="N33" s="22" t="n">
        <f aca="false">-N24*Premissas!$B$37*Premissas!$B$36</f>
        <v>-12840.6002531369</v>
      </c>
      <c r="O33" s="22" t="n">
        <f aca="false">-O24*Premissas!$B$37*Premissas!$B$36</f>
        <v>-14766.6902911074</v>
      </c>
      <c r="P33" s="22" t="n">
        <f aca="false">-P24*Premissas!$B$37*Premissas!$B$36</f>
        <v>-16981.6938347735</v>
      </c>
      <c r="Q33" s="22" t="n">
        <f aca="false">-Q24*Premissas!$B$37*Premissas!$B$36</f>
        <v>-19528.9479099896</v>
      </c>
      <c r="R33" s="22" t="n">
        <f aca="false">-R24*Premissas!$B$37*Premissas!$B$36</f>
        <v>-22458.290096488</v>
      </c>
      <c r="S33" s="22" t="n">
        <f aca="false">-S24*Premissas!$B$37*Premissas!$B$36</f>
        <v>-25827.0336109612</v>
      </c>
      <c r="T33" s="22" t="n">
        <f aca="false">-T24*Premissas!$B$37*Premissas!$B$36</f>
        <v>-29701.0886526054</v>
      </c>
      <c r="U33" s="22" t="n">
        <f aca="false">-U24*Premissas!$B$37*Premissas!$B$36</f>
        <v>-34156.2519504962</v>
      </c>
      <c r="V33" s="22" t="n">
        <f aca="false">-V24*Premissas!$B$37*Premissas!$B$36</f>
        <v>-39279.6897430706</v>
      </c>
      <c r="W33" s="22" t="n">
        <f aca="false">-W24*Premissas!$B$37*Premissas!$B$36</f>
        <v>-45171.6432045312</v>
      </c>
      <c r="X33" s="22" t="n">
        <f aca="false">-X24*Premissas!$B$37*Premissas!$B$36</f>
        <v>-51947.3896852109</v>
      </c>
      <c r="Y33" s="22" t="n">
        <f aca="false">-Y24*Premissas!$B$37*Premissas!$B$36</f>
        <v>-59739.4981379925</v>
      </c>
    </row>
    <row r="34" customFormat="false" ht="15" hidden="false" customHeight="false" outlineLevel="0" collapsed="false">
      <c r="A34" s="23" t="s">
        <v>263</v>
      </c>
      <c r="B34" s="21" t="n">
        <f aca="false">B31+B32+B33</f>
        <v>-3073.2391872</v>
      </c>
      <c r="C34" s="21" t="n">
        <f aca="false">C31+C32+C33</f>
        <v>-2974.759736576</v>
      </c>
      <c r="D34" s="21" t="n">
        <f aca="false">D31+D32+D33</f>
        <v>-2891.28749036768</v>
      </c>
      <c r="E34" s="21" t="n">
        <f aca="false">E31+E32+E33</f>
        <v>-2822.98899069674</v>
      </c>
      <c r="F34" s="21" t="n">
        <f aca="false">F31+F32+F33</f>
        <v>-2770.20167870099</v>
      </c>
      <c r="G34" s="21" t="n">
        <f aca="false">G31+G32+G33</f>
        <v>-2733.44931514789</v>
      </c>
      <c r="H34" s="21" t="n">
        <f aca="false">H31+H32+H33</f>
        <v>-2713.46042913691</v>
      </c>
      <c r="I34" s="21" t="n">
        <f aca="false">I31+I32+I33</f>
        <v>-2711.1901990541</v>
      </c>
      <c r="J34" s="21" t="n">
        <f aca="false">J31+J32+J33</f>
        <v>-4353.7022340706</v>
      </c>
      <c r="K34" s="21" t="n">
        <f aca="false">K31+K32+K33</f>
        <v>-4390.77479797849</v>
      </c>
      <c r="L34" s="21" t="n">
        <f aca="false">L31+L32+L33</f>
        <v>-4450.07210145676</v>
      </c>
      <c r="M34" s="21" t="n">
        <f aca="false">M31+M32+M33</f>
        <v>-4533.76138559206</v>
      </c>
      <c r="N34" s="21" t="n">
        <f aca="false">N31+N32+N33</f>
        <v>-4644.41663052347</v>
      </c>
      <c r="O34" s="21" t="n">
        <f aca="false">O31+O32+O33</f>
        <v>-4785.07385059812</v>
      </c>
      <c r="P34" s="21" t="n">
        <f aca="false">P31+P32+P33</f>
        <v>-4959.29508389924</v>
      </c>
      <c r="Q34" s="21" t="n">
        <f aca="false">Q31+Q32+Q33</f>
        <v>-5171.24235229573</v>
      </c>
      <c r="R34" s="21" t="n">
        <f aca="false">R31+R32+R33</f>
        <v>-5425.76306154488</v>
      </c>
      <c r="S34" s="21" t="n">
        <f aca="false">S31+S32+S33</f>
        <v>-10275.3605332331</v>
      </c>
      <c r="T34" s="21" t="n">
        <f aca="false">T31+T32+T33</f>
        <v>-10632.8196158025</v>
      </c>
      <c r="U34" s="21" t="n">
        <f aca="false">U31+U32+U33</f>
        <v>-11052.5696155765</v>
      </c>
      <c r="V34" s="21" t="n">
        <f aca="false">V31+V32+V33</f>
        <v>-11543.3471262983</v>
      </c>
      <c r="W34" s="21" t="n">
        <f aca="false">W31+W32+W33</f>
        <v>-12115.2417238414</v>
      </c>
      <c r="X34" s="21" t="n">
        <f aca="false">X31+X32+X33</f>
        <v>-12779.8959390141</v>
      </c>
      <c r="Y34" s="21" t="n">
        <f aca="false">Y31+Y32+Y33</f>
        <v>-13550.7354345009</v>
      </c>
    </row>
    <row r="35" customFormat="false" ht="15" hidden="false" customHeight="false" outlineLevel="0" collapsed="false">
      <c r="A35" s="23" t="s">
        <v>264</v>
      </c>
      <c r="B35" s="21" t="n">
        <f aca="false">B34</f>
        <v>-3073.2391872</v>
      </c>
      <c r="C35" s="21" t="n">
        <f aca="false">B35+C34</f>
        <v>-6047.998923776</v>
      </c>
      <c r="D35" s="21" t="n">
        <f aca="false">C35+D34</f>
        <v>-8939.28641414368</v>
      </c>
      <c r="E35" s="21" t="n">
        <f aca="false">D35+E34</f>
        <v>-11762.2754048404</v>
      </c>
      <c r="F35" s="21" t="n">
        <f aca="false">E35+F34</f>
        <v>-14532.4770835414</v>
      </c>
      <c r="G35" s="21" t="n">
        <f aca="false">F35+G34</f>
        <v>-17265.9263986893</v>
      </c>
      <c r="H35" s="21" t="n">
        <f aca="false">G35+H34</f>
        <v>-19979.3868278262</v>
      </c>
      <c r="I35" s="21" t="n">
        <f aca="false">H35+I34</f>
        <v>-22690.5770268803</v>
      </c>
      <c r="J35" s="21" t="n">
        <f aca="false">I35+J34</f>
        <v>-27044.2792609509</v>
      </c>
      <c r="K35" s="21" t="n">
        <f aca="false">J35+K34</f>
        <v>-31435.0540589294</v>
      </c>
      <c r="L35" s="21" t="n">
        <f aca="false">K35+L34</f>
        <v>-35885.1261603862</v>
      </c>
      <c r="M35" s="21" t="n">
        <f aca="false">L35+M34</f>
        <v>-40418.8875459782</v>
      </c>
      <c r="N35" s="21" t="n">
        <f aca="false">M35+N34</f>
        <v>-45063.3041765017</v>
      </c>
      <c r="O35" s="21" t="n">
        <f aca="false">N35+O34</f>
        <v>-49848.3780270998</v>
      </c>
      <c r="P35" s="21" t="n">
        <f aca="false">O35+P34</f>
        <v>-54807.6731109991</v>
      </c>
      <c r="Q35" s="21" t="n">
        <f aca="false">P35+Q34</f>
        <v>-59978.9154632948</v>
      </c>
      <c r="R35" s="21" t="n">
        <f aca="false">Q35+R34</f>
        <v>-65404.6785248397</v>
      </c>
      <c r="S35" s="21" t="n">
        <f aca="false">R35+S34</f>
        <v>-75680.0390580727</v>
      </c>
      <c r="T35" s="21" t="n">
        <f aca="false">S35+T34</f>
        <v>-86312.8586738753</v>
      </c>
      <c r="U35" s="21" t="n">
        <f aca="false">T35+U34</f>
        <v>-97365.4282894518</v>
      </c>
      <c r="V35" s="21" t="n">
        <f aca="false">U35+V34</f>
        <v>-108908.77541575</v>
      </c>
      <c r="W35" s="21" t="n">
        <f aca="false">V35+W34</f>
        <v>-121024.017139591</v>
      </c>
      <c r="X35" s="21" t="n">
        <f aca="false">W35+X34</f>
        <v>-133803.913078606</v>
      </c>
      <c r="Y35" s="21" t="n">
        <f aca="false">X35+Y34</f>
        <v>-147354.648513106</v>
      </c>
    </row>
    <row r="38" customFormat="false" ht="15" hidden="false" customHeight="false" outlineLevel="0" collapsed="false">
      <c r="A38" s="3" t="s">
        <v>266</v>
      </c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10" t="s">
        <v>226</v>
      </c>
      <c r="B39" s="17" t="n">
        <v>80</v>
      </c>
      <c r="D39" s="10" t="s">
        <v>227</v>
      </c>
      <c r="E39" s="13" t="n">
        <v>0.2</v>
      </c>
    </row>
    <row r="40" customFormat="false" ht="27.75" hidden="false" customHeight="true" outlineLevel="0" collapsed="false">
      <c r="A40" s="7" t="s">
        <v>228</v>
      </c>
      <c r="B40" s="7" t="s">
        <v>229</v>
      </c>
      <c r="C40" s="7" t="s">
        <v>230</v>
      </c>
      <c r="D40" s="7" t="s">
        <v>231</v>
      </c>
      <c r="E40" s="7" t="s">
        <v>232</v>
      </c>
      <c r="F40" s="7" t="s">
        <v>233</v>
      </c>
      <c r="G40" s="7" t="s">
        <v>234</v>
      </c>
      <c r="H40" s="7" t="s">
        <v>235</v>
      </c>
      <c r="I40" s="7" t="s">
        <v>236</v>
      </c>
      <c r="J40" s="7" t="s">
        <v>237</v>
      </c>
      <c r="K40" s="7" t="s">
        <v>238</v>
      </c>
      <c r="L40" s="7" t="s">
        <v>239</v>
      </c>
      <c r="M40" s="7" t="s">
        <v>240</v>
      </c>
      <c r="N40" s="7" t="s">
        <v>241</v>
      </c>
      <c r="O40" s="7" t="s">
        <v>242</v>
      </c>
      <c r="P40" s="7" t="s">
        <v>243</v>
      </c>
      <c r="Q40" s="7" t="s">
        <v>244</v>
      </c>
      <c r="R40" s="7" t="s">
        <v>245</v>
      </c>
      <c r="S40" s="7" t="s">
        <v>246</v>
      </c>
      <c r="T40" s="7" t="s">
        <v>247</v>
      </c>
      <c r="U40" s="7" t="s">
        <v>248</v>
      </c>
      <c r="V40" s="7" t="s">
        <v>249</v>
      </c>
      <c r="W40" s="7" t="s">
        <v>250</v>
      </c>
      <c r="X40" s="7" t="s">
        <v>251</v>
      </c>
      <c r="Y40" s="7" t="s">
        <v>252</v>
      </c>
    </row>
    <row r="41" customFormat="false" ht="15" hidden="false" customHeight="false" outlineLevel="0" collapsed="false">
      <c r="A41" s="10" t="s">
        <v>253</v>
      </c>
      <c r="B41" s="32" t="n">
        <f aca="false">$B$39</f>
        <v>80</v>
      </c>
      <c r="C41" s="32" t="n">
        <f aca="false">B41*(1+$E$39)</f>
        <v>96</v>
      </c>
      <c r="D41" s="32" t="n">
        <f aca="false">C41*(1+$E$39)</f>
        <v>115.2</v>
      </c>
      <c r="E41" s="32" t="n">
        <f aca="false">D41*(1+$E$39)</f>
        <v>138.24</v>
      </c>
      <c r="F41" s="32" t="n">
        <f aca="false">E41*(1+$E$39)</f>
        <v>165.888</v>
      </c>
      <c r="G41" s="32" t="n">
        <f aca="false">F41*(1+$E$39)</f>
        <v>199.0656</v>
      </c>
      <c r="H41" s="32" t="n">
        <f aca="false">G41*(1+$E$39)</f>
        <v>238.87872</v>
      </c>
      <c r="I41" s="32" t="n">
        <f aca="false">H41*(1+$E$39)</f>
        <v>286.654464</v>
      </c>
      <c r="J41" s="32" t="n">
        <f aca="false">I41*(1+$E$39)</f>
        <v>343.9853568</v>
      </c>
      <c r="K41" s="32" t="n">
        <f aca="false">J41*(1+$E$39)</f>
        <v>412.78242816</v>
      </c>
      <c r="L41" s="32" t="n">
        <f aca="false">K41*(1+$E$39)</f>
        <v>495.338913792</v>
      </c>
      <c r="M41" s="32" t="n">
        <f aca="false">L41*(1+$E$39)</f>
        <v>594.4066965504</v>
      </c>
      <c r="N41" s="32" t="n">
        <f aca="false">M41*(1+$E$39)</f>
        <v>713.28803586048</v>
      </c>
      <c r="O41" s="32" t="n">
        <f aca="false">N41*(1+$E$39)</f>
        <v>855.945643032576</v>
      </c>
      <c r="P41" s="32" t="n">
        <f aca="false">O41*(1+$E$39)</f>
        <v>1027.13477163909</v>
      </c>
      <c r="Q41" s="32" t="n">
        <f aca="false">P41*(1+$E$39)</f>
        <v>1232.56172596691</v>
      </c>
      <c r="R41" s="32" t="n">
        <f aca="false">Q41*(1+$E$39)</f>
        <v>1479.07407116029</v>
      </c>
      <c r="S41" s="32" t="n">
        <f aca="false">R41*(1+$E$39)</f>
        <v>1774.88888539235</v>
      </c>
      <c r="T41" s="32" t="n">
        <f aca="false">S41*(1+$E$39)</f>
        <v>2129.86666247082</v>
      </c>
      <c r="U41" s="32" t="n">
        <f aca="false">T41*(1+$E$39)</f>
        <v>2555.83999496498</v>
      </c>
      <c r="V41" s="32" t="n">
        <f aca="false">U41*(1+$E$39)</f>
        <v>3067.00799395798</v>
      </c>
      <c r="W41" s="32" t="n">
        <f aca="false">V41*(1+$E$39)</f>
        <v>3680.40959274957</v>
      </c>
      <c r="X41" s="32" t="n">
        <f aca="false">W41*(1+$E$39)</f>
        <v>4416.49151129949</v>
      </c>
      <c r="Y41" s="32" t="n">
        <f aca="false">X41*(1+$E$39)</f>
        <v>5299.78981355939</v>
      </c>
    </row>
    <row r="42" customFormat="false" ht="15" hidden="false" customHeight="false" outlineLevel="0" collapsed="false">
      <c r="A42" s="10" t="s">
        <v>254</v>
      </c>
      <c r="B42" s="32" t="n">
        <f aca="false">0</f>
        <v>0</v>
      </c>
      <c r="C42" s="32" t="n">
        <f aca="false">B44</f>
        <v>80</v>
      </c>
      <c r="D42" s="32" t="n">
        <f aca="false">C44</f>
        <v>170.4</v>
      </c>
      <c r="E42" s="32" t="n">
        <f aca="false">D44</f>
        <v>273.672</v>
      </c>
      <c r="F42" s="32" t="n">
        <f aca="false">E44</f>
        <v>392.75496</v>
      </c>
      <c r="G42" s="32" t="n">
        <f aca="false">F44</f>
        <v>531.1501128</v>
      </c>
      <c r="H42" s="32" t="n">
        <f aca="false">G44</f>
        <v>693.035204904</v>
      </c>
      <c r="I42" s="32" t="n">
        <f aca="false">H44</f>
        <v>883.40146056072</v>
      </c>
      <c r="J42" s="32" t="n">
        <f aca="false">I44</f>
        <v>1108.21782232147</v>
      </c>
      <c r="K42" s="32" t="n">
        <f aca="false">J44</f>
        <v>1374.62793155897</v>
      </c>
      <c r="L42" s="32" t="n">
        <f aca="false">K44</f>
        <v>1691.18640450984</v>
      </c>
      <c r="M42" s="32" t="n">
        <f aca="false">L44</f>
        <v>2068.14226998615</v>
      </c>
      <c r="N42" s="32" t="n">
        <f aca="false">M44</f>
        <v>2517.77900763752</v>
      </c>
      <c r="O42" s="32" t="n">
        <f aca="false">N44</f>
        <v>3054.82251296337</v>
      </c>
      <c r="P42" s="32" t="n">
        <f aca="false">O44</f>
        <v>3696.93058008851</v>
      </c>
      <c r="Q42" s="32" t="n">
        <f aca="false">P44</f>
        <v>4465.28021112141</v>
      </c>
      <c r="R42" s="32" t="n">
        <f aca="false">Q44</f>
        <v>5385.27232230982</v>
      </c>
      <c r="S42" s="32" t="n">
        <f aca="false">R44</f>
        <v>6487.37733090842</v>
      </c>
      <c r="T42" s="32" t="n">
        <f aca="false">S44</f>
        <v>7808.14980313718</v>
      </c>
      <c r="U42" s="32" t="n">
        <f aca="false">T44</f>
        <v>9391.44597938839</v>
      </c>
      <c r="V42" s="32" t="n">
        <f aca="false">U44</f>
        <v>11289.8847557962</v>
      </c>
      <c r="W42" s="32" t="n">
        <f aca="false">V44</f>
        <v>13566.6008168484</v>
      </c>
      <c r="X42" s="32" t="n">
        <f aca="false">W44</f>
        <v>16297.3483524186</v>
      </c>
      <c r="Y42" s="32" t="n">
        <f aca="false">X44</f>
        <v>19573.0254790488</v>
      </c>
    </row>
    <row r="43" customFormat="false" ht="15" hidden="false" customHeight="false" outlineLevel="0" collapsed="false">
      <c r="A43" s="10" t="s">
        <v>255</v>
      </c>
      <c r="B43" s="32" t="n">
        <f aca="false">-B42*Premissas!$B$38</f>
        <v>-0</v>
      </c>
      <c r="C43" s="32" t="n">
        <f aca="false">-C42*Premissas!$B$38</f>
        <v>-5.6</v>
      </c>
      <c r="D43" s="32" t="n">
        <f aca="false">-D42*Premissas!$B$38</f>
        <v>-11.928</v>
      </c>
      <c r="E43" s="32" t="n">
        <f aca="false">-E42*Premissas!$B$38</f>
        <v>-19.15704</v>
      </c>
      <c r="F43" s="32" t="n">
        <f aca="false">-F42*Premissas!$B$38</f>
        <v>-27.4928472</v>
      </c>
      <c r="G43" s="32" t="n">
        <f aca="false">-G42*Premissas!$B$38</f>
        <v>-37.180507896</v>
      </c>
      <c r="H43" s="32" t="n">
        <f aca="false">-H42*Premissas!$B$38</f>
        <v>-48.51246434328</v>
      </c>
      <c r="I43" s="32" t="n">
        <f aca="false">-I42*Premissas!$B$38</f>
        <v>-61.8381022392504</v>
      </c>
      <c r="J43" s="32" t="n">
        <f aca="false">-J42*Premissas!$B$38</f>
        <v>-77.5752475625029</v>
      </c>
      <c r="K43" s="32" t="n">
        <f aca="false">-K42*Premissas!$B$38</f>
        <v>-96.2239552091277</v>
      </c>
      <c r="L43" s="32" t="n">
        <f aca="false">-L42*Premissas!$B$38</f>
        <v>-118.383048315689</v>
      </c>
      <c r="M43" s="32" t="n">
        <f aca="false">-M42*Premissas!$B$38</f>
        <v>-144.76995889903</v>
      </c>
      <c r="N43" s="32" t="n">
        <f aca="false">-N42*Premissas!$B$38</f>
        <v>-176.244530534626</v>
      </c>
      <c r="O43" s="32" t="n">
        <f aca="false">-O42*Premissas!$B$38</f>
        <v>-213.837575907436</v>
      </c>
      <c r="P43" s="32" t="n">
        <f aca="false">-P42*Premissas!$B$38</f>
        <v>-258.785140606196</v>
      </c>
      <c r="Q43" s="32" t="n">
        <f aca="false">-Q42*Premissas!$B$38</f>
        <v>-312.569614778499</v>
      </c>
      <c r="R43" s="32" t="n">
        <f aca="false">-R42*Premissas!$B$38</f>
        <v>-376.969062561687</v>
      </c>
      <c r="S43" s="32" t="n">
        <f aca="false">-S42*Premissas!$B$38</f>
        <v>-454.11641316359</v>
      </c>
      <c r="T43" s="32" t="n">
        <f aca="false">-T42*Premissas!$B$38</f>
        <v>-546.570486219603</v>
      </c>
      <c r="U43" s="32" t="n">
        <f aca="false">-U42*Premissas!$B$38</f>
        <v>-657.401218557188</v>
      </c>
      <c r="V43" s="32" t="n">
        <f aca="false">-V42*Premissas!$B$38</f>
        <v>-790.291932905733</v>
      </c>
      <c r="W43" s="32" t="n">
        <f aca="false">-W42*Premissas!$B$38</f>
        <v>-949.66205717939</v>
      </c>
      <c r="X43" s="32" t="n">
        <f aca="false">-X42*Premissas!$B$38</f>
        <v>-1140.8143846693</v>
      </c>
      <c r="Y43" s="32" t="n">
        <f aca="false">-Y42*Premissas!$B$38</f>
        <v>-1370.11178353342</v>
      </c>
    </row>
    <row r="44" customFormat="false" ht="15" hidden="false" customHeight="false" outlineLevel="0" collapsed="false">
      <c r="A44" s="5" t="s">
        <v>256</v>
      </c>
      <c r="B44" s="33" t="n">
        <f aca="false">B42+B43+B41</f>
        <v>80</v>
      </c>
      <c r="C44" s="33" t="n">
        <f aca="false">C42+C43+C41</f>
        <v>170.4</v>
      </c>
      <c r="D44" s="33" t="n">
        <f aca="false">D42+D43+D41</f>
        <v>273.672</v>
      </c>
      <c r="E44" s="33" t="n">
        <f aca="false">E42+E43+E41</f>
        <v>392.75496</v>
      </c>
      <c r="F44" s="33" t="n">
        <f aca="false">F42+F43+F41</f>
        <v>531.1501128</v>
      </c>
      <c r="G44" s="33" t="n">
        <f aca="false">G42+G43+G41</f>
        <v>693.035204904</v>
      </c>
      <c r="H44" s="33" t="n">
        <f aca="false">H42+H43+H41</f>
        <v>883.40146056072</v>
      </c>
      <c r="I44" s="33" t="n">
        <f aca="false">I42+I43+I41</f>
        <v>1108.21782232147</v>
      </c>
      <c r="J44" s="33" t="n">
        <f aca="false">J42+J43+J41</f>
        <v>1374.62793155897</v>
      </c>
      <c r="K44" s="33" t="n">
        <f aca="false">K42+K43+K41</f>
        <v>1691.18640450984</v>
      </c>
      <c r="L44" s="33" t="n">
        <f aca="false">L42+L43+L41</f>
        <v>2068.14226998615</v>
      </c>
      <c r="M44" s="33" t="n">
        <f aca="false">M42+M43+M41</f>
        <v>2517.77900763752</v>
      </c>
      <c r="N44" s="33" t="n">
        <f aca="false">N42+N43+N41</f>
        <v>3054.82251296337</v>
      </c>
      <c r="O44" s="33" t="n">
        <f aca="false">O42+O43+O41</f>
        <v>3696.93058008851</v>
      </c>
      <c r="P44" s="33" t="n">
        <f aca="false">P42+P43+P41</f>
        <v>4465.28021112141</v>
      </c>
      <c r="Q44" s="33" t="n">
        <f aca="false">Q42+Q43+Q41</f>
        <v>5385.27232230982</v>
      </c>
      <c r="R44" s="33" t="n">
        <f aca="false">R42+R43+R41</f>
        <v>6487.37733090842</v>
      </c>
      <c r="S44" s="33" t="n">
        <f aca="false">S42+S43+S41</f>
        <v>7808.14980313718</v>
      </c>
      <c r="T44" s="33" t="n">
        <f aca="false">T42+T43+T41</f>
        <v>9391.44597938839</v>
      </c>
      <c r="U44" s="33" t="n">
        <f aca="false">U42+U43+U41</f>
        <v>11289.8847557962</v>
      </c>
      <c r="V44" s="33" t="n">
        <f aca="false">V42+V43+V41</f>
        <v>13566.6008168484</v>
      </c>
      <c r="W44" s="33" t="n">
        <f aca="false">W42+W43+W41</f>
        <v>16297.3483524186</v>
      </c>
      <c r="X44" s="33" t="n">
        <f aca="false">X42+X43+X41</f>
        <v>19573.0254790488</v>
      </c>
      <c r="Y44" s="33" t="n">
        <f aca="false">Y42+Y43+Y41</f>
        <v>23502.7035090748</v>
      </c>
    </row>
    <row r="45" customFormat="false" ht="15" hidden="false" customHeight="false" outlineLevel="0" collapsed="false">
      <c r="A45" s="10" t="s">
        <v>257</v>
      </c>
      <c r="B45" s="32" t="n">
        <f aca="false">(B42+B44)/2</f>
        <v>40</v>
      </c>
      <c r="C45" s="32" t="n">
        <f aca="false">(C42+C44)/2</f>
        <v>125.2</v>
      </c>
      <c r="D45" s="32" t="n">
        <f aca="false">(D42+D44)/2</f>
        <v>222.036</v>
      </c>
      <c r="E45" s="32" t="n">
        <f aca="false">(E42+E44)/2</f>
        <v>333.21348</v>
      </c>
      <c r="F45" s="32" t="n">
        <f aca="false">(F42+F44)/2</f>
        <v>461.9525364</v>
      </c>
      <c r="G45" s="32" t="n">
        <f aca="false">(G42+G44)/2</f>
        <v>612.092658852</v>
      </c>
      <c r="H45" s="32" t="n">
        <f aca="false">(H42+H44)/2</f>
        <v>788.21833273236</v>
      </c>
      <c r="I45" s="32" t="n">
        <f aca="false">(I42+I44)/2</f>
        <v>995.809641441095</v>
      </c>
      <c r="J45" s="32" t="n">
        <f aca="false">(J42+J44)/2</f>
        <v>1241.42287694022</v>
      </c>
      <c r="K45" s="32" t="n">
        <f aca="false">(K42+K44)/2</f>
        <v>1532.9071680344</v>
      </c>
      <c r="L45" s="32" t="n">
        <f aca="false">(L42+L44)/2</f>
        <v>1879.66433724799</v>
      </c>
      <c r="M45" s="32" t="n">
        <f aca="false">(M42+M44)/2</f>
        <v>2292.96063881183</v>
      </c>
      <c r="N45" s="32" t="n">
        <f aca="false">(N42+N44)/2</f>
        <v>2786.30076030045</v>
      </c>
      <c r="O45" s="32" t="n">
        <f aca="false">(O42+O44)/2</f>
        <v>3375.87654652594</v>
      </c>
      <c r="P45" s="32" t="n">
        <f aca="false">(P42+P44)/2</f>
        <v>4081.10539560496</v>
      </c>
      <c r="Q45" s="32" t="n">
        <f aca="false">(Q42+Q44)/2</f>
        <v>4925.27626671561</v>
      </c>
      <c r="R45" s="32" t="n">
        <f aca="false">(R42+R44)/2</f>
        <v>5936.32482660912</v>
      </c>
      <c r="S45" s="32" t="n">
        <f aca="false">(S42+S44)/2</f>
        <v>7147.7635670228</v>
      </c>
      <c r="T45" s="32" t="n">
        <f aca="false">(T42+T44)/2</f>
        <v>8599.79789126279</v>
      </c>
      <c r="U45" s="32" t="n">
        <f aca="false">(U42+U44)/2</f>
        <v>10340.6653675923</v>
      </c>
      <c r="V45" s="32" t="n">
        <f aca="false">(V42+V44)/2</f>
        <v>12428.2427863223</v>
      </c>
      <c r="W45" s="32" t="n">
        <f aca="false">(W42+W44)/2</f>
        <v>14931.9745846335</v>
      </c>
      <c r="X45" s="32" t="n">
        <f aca="false">(X42+X44)/2</f>
        <v>17935.1869157337</v>
      </c>
      <c r="Y45" s="32" t="n">
        <f aca="false">(Y42+Y44)/2</f>
        <v>21537.8644940618</v>
      </c>
    </row>
    <row r="46" customFormat="false" ht="15" hidden="false" customHeight="false" outlineLevel="0" collapsed="false">
      <c r="A46" s="5" t="s">
        <v>258</v>
      </c>
      <c r="B46" s="21" t="n">
        <f aca="false">B45*Premissas!$B$16</f>
        <v>916</v>
      </c>
      <c r="C46" s="21" t="n">
        <f aca="false">C45*Premissas!$B$16</f>
        <v>2867.08</v>
      </c>
      <c r="D46" s="21" t="n">
        <f aca="false">D45*Premissas!$B$16</f>
        <v>5084.6244</v>
      </c>
      <c r="E46" s="21" t="n">
        <f aca="false">E45*Premissas!$B$16</f>
        <v>7630.588692</v>
      </c>
      <c r="F46" s="21" t="n">
        <f aca="false">F45*Premissas!$B$16</f>
        <v>10578.71308356</v>
      </c>
      <c r="G46" s="21" t="n">
        <f aca="false">G45*Premissas!$B$16</f>
        <v>14016.9218877108</v>
      </c>
      <c r="H46" s="21" t="n">
        <f aca="false">H45*Premissas!$B$16</f>
        <v>18050.199819571</v>
      </c>
      <c r="I46" s="21" t="n">
        <f aca="false">I45*Premissas!$B$16</f>
        <v>22804.0407890011</v>
      </c>
      <c r="J46" s="21" t="n">
        <f aca="false">J45*Premissas!$B$16</f>
        <v>28428.583881931</v>
      </c>
      <c r="K46" s="21" t="n">
        <f aca="false">K45*Premissas!$B$16</f>
        <v>35103.5741479878</v>
      </c>
      <c r="L46" s="21" t="n">
        <f aca="false">L45*Premissas!$B$16</f>
        <v>43044.3133229791</v>
      </c>
      <c r="M46" s="21" t="n">
        <f aca="false">M45*Premissas!$B$16</f>
        <v>52508.798628791</v>
      </c>
      <c r="N46" s="21" t="n">
        <f aca="false">N45*Premissas!$B$16</f>
        <v>63806.2874108802</v>
      </c>
      <c r="O46" s="21" t="n">
        <f aca="false">O45*Premissas!$B$16</f>
        <v>77307.5729154441</v>
      </c>
      <c r="P46" s="21" t="n">
        <f aca="false">P45*Premissas!$B$16</f>
        <v>93457.3135593536</v>
      </c>
      <c r="Q46" s="21" t="n">
        <f aca="false">Q45*Premissas!$B$16</f>
        <v>112788.826507788</v>
      </c>
      <c r="R46" s="21" t="n">
        <f aca="false">R45*Premissas!$B$16</f>
        <v>135941.838529349</v>
      </c>
      <c r="S46" s="21" t="n">
        <f aca="false">S45*Premissas!$B$16</f>
        <v>163683.785684822</v>
      </c>
      <c r="T46" s="21" t="n">
        <f aca="false">T45*Premissas!$B$16</f>
        <v>196935.371709918</v>
      </c>
      <c r="U46" s="21" t="n">
        <f aca="false">U45*Premissas!$B$16</f>
        <v>236801.236917863</v>
      </c>
      <c r="V46" s="21" t="n">
        <f aca="false">V45*Premissas!$B$16</f>
        <v>284606.759806781</v>
      </c>
      <c r="W46" s="21" t="n">
        <f aca="false">W45*Premissas!$B$16</f>
        <v>341942.217988108</v>
      </c>
      <c r="X46" s="21" t="n">
        <f aca="false">X45*Premissas!$B$16</f>
        <v>410715.780370302</v>
      </c>
      <c r="Y46" s="21" t="n">
        <f aca="false">Y45*Premissas!$B$16</f>
        <v>493217.096914015</v>
      </c>
    </row>
    <row r="47" customFormat="false" ht="15" hidden="false" customHeight="false" outlineLevel="0" collapsed="false">
      <c r="A47" s="10" t="s">
        <v>259</v>
      </c>
      <c r="B47" s="22" t="n">
        <f aca="false">-B45*('Unit Economics'!$D$5-'Unit Economics'!$D$11)</f>
        <v>-475.1543744</v>
      </c>
      <c r="C47" s="22" t="n">
        <f aca="false">-C45*('Unit Economics'!$D$5-'Unit Economics'!$D$11)</f>
        <v>-1487.233191872</v>
      </c>
      <c r="D47" s="22" t="n">
        <f aca="false">-D45*('Unit Economics'!$D$5-'Unit Economics'!$D$11)</f>
        <v>-2637.53441685696</v>
      </c>
      <c r="E47" s="22" t="n">
        <f aca="false">-E45*('Unit Economics'!$D$5-'Unit Economics'!$D$11)</f>
        <v>-3958.19606577617</v>
      </c>
      <c r="F47" s="22" t="n">
        <f aca="false">-F45*('Unit Economics'!$D$5-'Unit Economics'!$D$11)</f>
        <v>-5487.46921089088</v>
      </c>
      <c r="G47" s="22" t="n">
        <f aca="false">-G45*('Unit Economics'!$D$5-'Unit Economics'!$D$11)</f>
        <v>-7270.96260979137</v>
      </c>
      <c r="H47" s="22" t="n">
        <f aca="false">-H45*('Unit Economics'!$D$5-'Unit Economics'!$D$11)</f>
        <v>-9363.13471950139</v>
      </c>
      <c r="I47" s="22" t="n">
        <f aca="false">-I45*('Unit Economics'!$D$5-'Unit Economics'!$D$11)</f>
        <v>-11829.0826800108</v>
      </c>
      <c r="J47" s="22" t="n">
        <f aca="false">-J45*('Unit Economics'!$D$5-'Unit Economics'!$D$11)</f>
        <v>-14746.6877614594</v>
      </c>
      <c r="K47" s="22" t="n">
        <f aca="false">-K45*('Unit Economics'!$D$5-'Unit Economics'!$D$11)</f>
        <v>-18209.1886610166</v>
      </c>
      <c r="L47" s="22" t="n">
        <f aca="false">-L45*('Unit Economics'!$D$5-'Unit Economics'!$D$11)</f>
        <v>-22328.2683061765</v>
      </c>
      <c r="M47" s="22" t="n">
        <f aca="false">-M45*('Unit Economics'!$D$5-'Unit Economics'!$D$11)</f>
        <v>-27237.7569464615</v>
      </c>
      <c r="N47" s="22" t="n">
        <f aca="false">-N45*('Unit Economics'!$D$5-'Unit Economics'!$D$11)</f>
        <v>-33098.0748662701</v>
      </c>
      <c r="O47" s="22" t="n">
        <f aca="false">-O45*('Unit Economics'!$D$5-'Unit Economics'!$D$11)</f>
        <v>-40101.5627129042</v>
      </c>
      <c r="P47" s="22" t="n">
        <f aca="false">-P45*('Unit Economics'!$D$5-'Unit Economics'!$D$11)</f>
        <v>-48478.8770277285</v>
      </c>
      <c r="Q47" s="22" t="n">
        <f aca="false">-Q45*('Unit Economics'!$D$5-'Unit Economics'!$D$11)</f>
        <v>-58506.6640814606</v>
      </c>
      <c r="R47" s="22" t="n">
        <f aca="false">-R45*('Unit Economics'!$D$5-'Unit Economics'!$D$11)</f>
        <v>-70516.7677305661</v>
      </c>
      <c r="S47" s="22" t="n">
        <f aca="false">-S45*('Unit Economics'!$D$5-'Unit Economics'!$D$11)</f>
        <v>-84907.2781511958</v>
      </c>
      <c r="T47" s="22" t="n">
        <f aca="false">-T45*('Unit Economics'!$D$5-'Unit Economics'!$D$11)</f>
        <v>-102155.789674735</v>
      </c>
      <c r="U47" s="22" t="n">
        <f aca="false">-U45*('Unit Economics'!$D$5-'Unit Economics'!$D$11)</f>
        <v>-122835.309590451</v>
      </c>
      <c r="V47" s="22" t="n">
        <f aca="false">-V45*('Unit Economics'!$D$5-'Unit Economics'!$D$11)</f>
        <v>-147633.348150657</v>
      </c>
      <c r="W47" s="22" t="n">
        <f aca="false">-W45*('Unit Economics'!$D$5-'Unit Economics'!$D$11)</f>
        <v>-177374.826057956</v>
      </c>
      <c r="X47" s="22" t="n">
        <f aca="false">-X45*('Unit Economics'!$D$5-'Unit Economics'!$D$11)</f>
        <v>-213049.562967313</v>
      </c>
      <c r="Y47" s="22" t="n">
        <f aca="false">-Y45*('Unit Economics'!$D$5-'Unit Economics'!$D$11)</f>
        <v>-255845.263239697</v>
      </c>
    </row>
    <row r="48" customFormat="false" ht="15" hidden="false" customHeight="false" outlineLevel="0" collapsed="false">
      <c r="A48" s="5" t="s">
        <v>260</v>
      </c>
      <c r="B48" s="21" t="n">
        <f aca="false">B46+B47</f>
        <v>440.8456256</v>
      </c>
      <c r="C48" s="21" t="n">
        <f aca="false">C46+C47</f>
        <v>1379.846808128</v>
      </c>
      <c r="D48" s="21" t="n">
        <f aca="false">D46+D47</f>
        <v>2447.08998314304</v>
      </c>
      <c r="E48" s="21" t="n">
        <f aca="false">E46+E47</f>
        <v>3672.39262622383</v>
      </c>
      <c r="F48" s="21" t="n">
        <f aca="false">F46+F47</f>
        <v>5091.24387266912</v>
      </c>
      <c r="G48" s="21" t="n">
        <f aca="false">G46+G47</f>
        <v>6745.95927791943</v>
      </c>
      <c r="H48" s="21" t="n">
        <f aca="false">H46+H47</f>
        <v>8687.06510006965</v>
      </c>
      <c r="I48" s="21" t="n">
        <f aca="false">I46+I47</f>
        <v>10974.9581089903</v>
      </c>
      <c r="J48" s="21" t="n">
        <f aca="false">J46+J47</f>
        <v>13681.8961204716</v>
      </c>
      <c r="K48" s="21" t="n">
        <f aca="false">K46+K47</f>
        <v>16894.3854869713</v>
      </c>
      <c r="L48" s="21" t="n">
        <f aca="false">L46+L47</f>
        <v>20716.0450168025</v>
      </c>
      <c r="M48" s="21" t="n">
        <f aca="false">M46+M47</f>
        <v>25271.0416823295</v>
      </c>
      <c r="N48" s="21" t="n">
        <f aca="false">N46+N47</f>
        <v>30708.2125446101</v>
      </c>
      <c r="O48" s="21" t="n">
        <f aca="false">O46+O47</f>
        <v>37206.0102025399</v>
      </c>
      <c r="P48" s="21" t="n">
        <f aca="false">P46+P47</f>
        <v>44978.4365316251</v>
      </c>
      <c r="Q48" s="21" t="n">
        <f aca="false">Q46+Q47</f>
        <v>54282.1624263269</v>
      </c>
      <c r="R48" s="21" t="n">
        <f aca="false">R46+R47</f>
        <v>65425.0707987827</v>
      </c>
      <c r="S48" s="21" t="n">
        <f aca="false">S46+S47</f>
        <v>78776.5075336263</v>
      </c>
      <c r="T48" s="21" t="n">
        <f aca="false">T46+T47</f>
        <v>94779.5820351826</v>
      </c>
      <c r="U48" s="21" t="n">
        <f aca="false">U46+U47</f>
        <v>113965.927327412</v>
      </c>
      <c r="V48" s="21" t="n">
        <f aca="false">V46+V47</f>
        <v>136973.411656124</v>
      </c>
      <c r="W48" s="21" t="n">
        <f aca="false">W46+W47</f>
        <v>164567.391930152</v>
      </c>
      <c r="X48" s="21" t="n">
        <f aca="false">X46+X47</f>
        <v>197666.217402989</v>
      </c>
      <c r="Y48" s="21" t="n">
        <f aca="false">Y46+Y47</f>
        <v>237371.833674317</v>
      </c>
    </row>
    <row r="49" customFormat="false" ht="15" hidden="false" customHeight="false" outlineLevel="0" collapsed="false">
      <c r="A49" s="10" t="s">
        <v>261</v>
      </c>
      <c r="B49" s="22" t="n">
        <f aca="false">-INDEX('Custos Fixos'!$C$26:$C$29,MATCH(B44,'Custos Fixos'!$A$26:$A$29,1))</f>
        <v>-893.662</v>
      </c>
      <c r="C49" s="22" t="n">
        <f aca="false">-INDEX('Custos Fixos'!$C$26:$C$29,MATCH(C44,'Custos Fixos'!$A$26:$A$29,1))</f>
        <v>-893.662</v>
      </c>
      <c r="D49" s="22" t="n">
        <f aca="false">-INDEX('Custos Fixos'!$C$26:$C$29,MATCH(D44,'Custos Fixos'!$A$26:$A$29,1))</f>
        <v>-893.662</v>
      </c>
      <c r="E49" s="22" t="n">
        <f aca="false">-INDEX('Custos Fixos'!$C$26:$C$29,MATCH(E44,'Custos Fixos'!$A$26:$A$29,1))</f>
        <v>-893.662</v>
      </c>
      <c r="F49" s="22" t="n">
        <f aca="false">-INDEX('Custos Fixos'!$C$26:$C$29,MATCH(F44,'Custos Fixos'!$A$26:$A$29,1))</f>
        <v>-2519.518</v>
      </c>
      <c r="G49" s="22" t="n">
        <f aca="false">-INDEX('Custos Fixos'!$C$26:$C$29,MATCH(G44,'Custos Fixos'!$A$26:$A$29,1))</f>
        <v>-2519.518</v>
      </c>
      <c r="H49" s="22" t="n">
        <f aca="false">-INDEX('Custos Fixos'!$C$26:$C$29,MATCH(H44,'Custos Fixos'!$A$26:$A$29,1))</f>
        <v>-2519.518</v>
      </c>
      <c r="I49" s="22" t="n">
        <f aca="false">-INDEX('Custos Fixos'!$C$26:$C$29,MATCH(I44,'Custos Fixos'!$A$26:$A$29,1))</f>
        <v>-2519.518</v>
      </c>
      <c r="J49" s="22" t="n">
        <f aca="false">-INDEX('Custos Fixos'!$C$26:$C$29,MATCH(J44,'Custos Fixos'!$A$26:$A$29,1))</f>
        <v>-2519.518</v>
      </c>
      <c r="K49" s="22" t="n">
        <f aca="false">-INDEX('Custos Fixos'!$C$26:$C$29,MATCH(K44,'Custos Fixos'!$A$26:$A$29,1))</f>
        <v>-2519.518</v>
      </c>
      <c r="L49" s="22" t="n">
        <f aca="false">-INDEX('Custos Fixos'!$C$26:$C$29,MATCH(L44,'Custos Fixos'!$A$26:$A$29,1))</f>
        <v>-7066.39</v>
      </c>
      <c r="M49" s="22" t="n">
        <f aca="false">-INDEX('Custos Fixos'!$C$26:$C$29,MATCH(M44,'Custos Fixos'!$A$26:$A$29,1))</f>
        <v>-7066.39</v>
      </c>
      <c r="N49" s="22" t="n">
        <f aca="false">-INDEX('Custos Fixos'!$C$26:$C$29,MATCH(N44,'Custos Fixos'!$A$26:$A$29,1))</f>
        <v>-7066.39</v>
      </c>
      <c r="O49" s="22" t="n">
        <f aca="false">-INDEX('Custos Fixos'!$C$26:$C$29,MATCH(O44,'Custos Fixos'!$A$26:$A$29,1))</f>
        <v>-7066.39</v>
      </c>
      <c r="P49" s="22" t="n">
        <f aca="false">-INDEX('Custos Fixos'!$C$26:$C$29,MATCH(P44,'Custos Fixos'!$A$26:$A$29,1))</f>
        <v>-7066.39</v>
      </c>
      <c r="Q49" s="22" t="n">
        <f aca="false">-INDEX('Custos Fixos'!$C$26:$C$29,MATCH(Q44,'Custos Fixos'!$A$26:$A$29,1))</f>
        <v>-7066.39</v>
      </c>
      <c r="R49" s="22" t="n">
        <f aca="false">-INDEX('Custos Fixos'!$C$26:$C$29,MATCH(R44,'Custos Fixos'!$A$26:$A$29,1))</f>
        <v>-7066.39</v>
      </c>
      <c r="S49" s="22" t="n">
        <f aca="false">-INDEX('Custos Fixos'!$C$26:$C$29,MATCH(S44,'Custos Fixos'!$A$26:$A$29,1))</f>
        <v>-7066.39</v>
      </c>
      <c r="T49" s="22" t="n">
        <f aca="false">-INDEX('Custos Fixos'!$C$26:$C$29,MATCH(T44,'Custos Fixos'!$A$26:$A$29,1))</f>
        <v>-7066.39</v>
      </c>
      <c r="U49" s="22" t="n">
        <f aca="false">-INDEX('Custos Fixos'!$C$26:$C$29,MATCH(U44,'Custos Fixos'!$A$26:$A$29,1))</f>
        <v>-19784.59</v>
      </c>
      <c r="V49" s="22" t="n">
        <f aca="false">-INDEX('Custos Fixos'!$C$26:$C$29,MATCH(V44,'Custos Fixos'!$A$26:$A$29,1))</f>
        <v>-19784.59</v>
      </c>
      <c r="W49" s="22" t="n">
        <f aca="false">-INDEX('Custos Fixos'!$C$26:$C$29,MATCH(W44,'Custos Fixos'!$A$26:$A$29,1))</f>
        <v>-19784.59</v>
      </c>
      <c r="X49" s="22" t="n">
        <f aca="false">-INDEX('Custos Fixos'!$C$26:$C$29,MATCH(X44,'Custos Fixos'!$A$26:$A$29,1))</f>
        <v>-19784.59</v>
      </c>
      <c r="Y49" s="22" t="n">
        <f aca="false">-INDEX('Custos Fixos'!$C$26:$C$29,MATCH(Y44,'Custos Fixos'!$A$26:$A$29,1))</f>
        <v>-19784.59</v>
      </c>
    </row>
    <row r="50" customFormat="false" ht="15" hidden="false" customHeight="false" outlineLevel="0" collapsed="false">
      <c r="A50" s="10" t="s">
        <v>262</v>
      </c>
      <c r="B50" s="22" t="n">
        <f aca="false">-B41*Premissas!$B$37*Premissas!$B$36</f>
        <v>-4800</v>
      </c>
      <c r="C50" s="22" t="n">
        <f aca="false">-C41*Premissas!$B$37*Premissas!$B$36</f>
        <v>-5760</v>
      </c>
      <c r="D50" s="22" t="n">
        <f aca="false">-D41*Premissas!$B$37*Premissas!$B$36</f>
        <v>-6912</v>
      </c>
      <c r="E50" s="22" t="n">
        <f aca="false">-E41*Premissas!$B$37*Premissas!$B$36</f>
        <v>-8294.4</v>
      </c>
      <c r="F50" s="22" t="n">
        <f aca="false">-F41*Premissas!$B$37*Premissas!$B$36</f>
        <v>-9953.28</v>
      </c>
      <c r="G50" s="22" t="n">
        <f aca="false">-G41*Premissas!$B$37*Premissas!$B$36</f>
        <v>-11943.936</v>
      </c>
      <c r="H50" s="22" t="n">
        <f aca="false">-H41*Premissas!$B$37*Premissas!$B$36</f>
        <v>-14332.7232</v>
      </c>
      <c r="I50" s="22" t="n">
        <f aca="false">-I41*Premissas!$B$37*Premissas!$B$36</f>
        <v>-17199.26784</v>
      </c>
      <c r="J50" s="22" t="n">
        <f aca="false">-J41*Premissas!$B$37*Premissas!$B$36</f>
        <v>-20639.121408</v>
      </c>
      <c r="K50" s="22" t="n">
        <f aca="false">-K41*Premissas!$B$37*Premissas!$B$36</f>
        <v>-24766.9456896</v>
      </c>
      <c r="L50" s="22" t="n">
        <f aca="false">-L41*Premissas!$B$37*Premissas!$B$36</f>
        <v>-29720.33482752</v>
      </c>
      <c r="M50" s="22" t="n">
        <f aca="false">-M41*Premissas!$B$37*Premissas!$B$36</f>
        <v>-35664.401793024</v>
      </c>
      <c r="N50" s="22" t="n">
        <f aca="false">-N41*Premissas!$B$37*Premissas!$B$36</f>
        <v>-42797.2821516288</v>
      </c>
      <c r="O50" s="22" t="n">
        <f aca="false">-O41*Premissas!$B$37*Premissas!$B$36</f>
        <v>-51356.7385819545</v>
      </c>
      <c r="P50" s="22" t="n">
        <f aca="false">-P41*Premissas!$B$37*Premissas!$B$36</f>
        <v>-61628.0862983455</v>
      </c>
      <c r="Q50" s="22" t="n">
        <f aca="false">-Q41*Premissas!$B$37*Premissas!$B$36</f>
        <v>-73953.7035580145</v>
      </c>
      <c r="R50" s="22" t="n">
        <f aca="false">-R41*Premissas!$B$37*Premissas!$B$36</f>
        <v>-88744.4442696174</v>
      </c>
      <c r="S50" s="22" t="n">
        <f aca="false">-S41*Premissas!$B$37*Premissas!$B$36</f>
        <v>-106493.333123541</v>
      </c>
      <c r="T50" s="22" t="n">
        <f aca="false">-T41*Premissas!$B$37*Premissas!$B$36</f>
        <v>-127791.999748249</v>
      </c>
      <c r="U50" s="22" t="n">
        <f aca="false">-U41*Premissas!$B$37*Premissas!$B$36</f>
        <v>-153350.399697899</v>
      </c>
      <c r="V50" s="22" t="n">
        <f aca="false">-V41*Premissas!$B$37*Premissas!$B$36</f>
        <v>-184020.479637479</v>
      </c>
      <c r="W50" s="22" t="n">
        <f aca="false">-W41*Premissas!$B$37*Premissas!$B$36</f>
        <v>-220824.575564974</v>
      </c>
      <c r="X50" s="22" t="n">
        <f aca="false">-X41*Premissas!$B$37*Premissas!$B$36</f>
        <v>-264989.490677969</v>
      </c>
      <c r="Y50" s="22" t="n">
        <f aca="false">-Y41*Premissas!$B$37*Premissas!$B$36</f>
        <v>-317987.388813563</v>
      </c>
    </row>
    <row r="51" customFormat="false" ht="15" hidden="false" customHeight="false" outlineLevel="0" collapsed="false">
      <c r="A51" s="23" t="s">
        <v>263</v>
      </c>
      <c r="B51" s="21" t="n">
        <f aca="false">B48+B49+B50</f>
        <v>-5252.8163744</v>
      </c>
      <c r="C51" s="21" t="n">
        <f aca="false">C48+C49+C50</f>
        <v>-5273.815191872</v>
      </c>
      <c r="D51" s="21" t="n">
        <f aca="false">D48+D49+D50</f>
        <v>-5358.57201685696</v>
      </c>
      <c r="E51" s="21" t="n">
        <f aca="false">E48+E49+E50</f>
        <v>-5515.66937377617</v>
      </c>
      <c r="F51" s="21" t="n">
        <f aca="false">F48+F49+F50</f>
        <v>-7381.55412733088</v>
      </c>
      <c r="G51" s="21" t="n">
        <f aca="false">G48+G49+G50</f>
        <v>-7717.49472208056</v>
      </c>
      <c r="H51" s="21" t="n">
        <f aca="false">H48+H49+H50</f>
        <v>-8165.17609993034</v>
      </c>
      <c r="I51" s="21" t="n">
        <f aca="false">I48+I49+I50</f>
        <v>-8743.82773100972</v>
      </c>
      <c r="J51" s="21" t="n">
        <f aca="false">J48+J49+J50</f>
        <v>-9476.74328752844</v>
      </c>
      <c r="K51" s="21" t="n">
        <f aca="false">K48+K49+K50</f>
        <v>-10392.0782026287</v>
      </c>
      <c r="L51" s="21" t="n">
        <f aca="false">L48+L49+L50</f>
        <v>-16070.6798107175</v>
      </c>
      <c r="M51" s="21" t="n">
        <f aca="false">M48+M49+M50</f>
        <v>-17459.7501106945</v>
      </c>
      <c r="N51" s="21" t="n">
        <f aca="false">N48+N49+N50</f>
        <v>-19155.4596070186</v>
      </c>
      <c r="O51" s="21" t="n">
        <f aca="false">O48+O49+O50</f>
        <v>-21217.1183794146</v>
      </c>
      <c r="P51" s="21" t="n">
        <f aca="false">P48+P49+P50</f>
        <v>-23716.0397667204</v>
      </c>
      <c r="Q51" s="21" t="n">
        <f aca="false">Q48+Q49+Q50</f>
        <v>-26737.9311316876</v>
      </c>
      <c r="R51" s="21" t="n">
        <f aca="false">R48+R49+R50</f>
        <v>-30385.7634708347</v>
      </c>
      <c r="S51" s="21" t="n">
        <f aca="false">S48+S49+S50</f>
        <v>-34783.2155899146</v>
      </c>
      <c r="T51" s="21" t="n">
        <f aca="false">T48+T49+T50</f>
        <v>-40078.8077130665</v>
      </c>
      <c r="U51" s="21" t="n">
        <f aca="false">U48+U49+U50</f>
        <v>-59169.062370487</v>
      </c>
      <c r="V51" s="21" t="n">
        <f aca="false">V48+V49+V50</f>
        <v>-66831.657981355</v>
      </c>
      <c r="W51" s="21" t="n">
        <f aca="false">W48+W49+W50</f>
        <v>-76041.7736348228</v>
      </c>
      <c r="X51" s="21" t="n">
        <f aca="false">X48+X49+X50</f>
        <v>-87107.8632749802</v>
      </c>
      <c r="Y51" s="21" t="n">
        <f aca="false">Y48+Y49+Y50</f>
        <v>-100400.145139246</v>
      </c>
    </row>
    <row r="52" customFormat="false" ht="15" hidden="false" customHeight="false" outlineLevel="0" collapsed="false">
      <c r="A52" s="23" t="s">
        <v>264</v>
      </c>
      <c r="B52" s="21" t="n">
        <f aca="false">B51</f>
        <v>-5252.8163744</v>
      </c>
      <c r="C52" s="21" t="n">
        <f aca="false">B52+C51</f>
        <v>-10526.631566272</v>
      </c>
      <c r="D52" s="21" t="n">
        <f aca="false">C52+D51</f>
        <v>-15885.203583129</v>
      </c>
      <c r="E52" s="21" t="n">
        <f aca="false">D52+E51</f>
        <v>-21400.8729569051</v>
      </c>
      <c r="F52" s="21" t="n">
        <f aca="false">E52+F51</f>
        <v>-28782.427084236</v>
      </c>
      <c r="G52" s="21" t="n">
        <f aca="false">F52+G51</f>
        <v>-36499.9218063166</v>
      </c>
      <c r="H52" s="21" t="n">
        <f aca="false">G52+H51</f>
        <v>-44665.0979062469</v>
      </c>
      <c r="I52" s="21" t="n">
        <f aca="false">H52+I51</f>
        <v>-53408.9256372566</v>
      </c>
      <c r="J52" s="21" t="n">
        <f aca="false">I52+J51</f>
        <v>-62885.6689247851</v>
      </c>
      <c r="K52" s="21" t="n">
        <f aca="false">J52+K51</f>
        <v>-73277.7471274138</v>
      </c>
      <c r="L52" s="21" t="n">
        <f aca="false">K52+L51</f>
        <v>-89348.4269381313</v>
      </c>
      <c r="M52" s="21" t="n">
        <f aca="false">L52+M51</f>
        <v>-106808.177048826</v>
      </c>
      <c r="N52" s="21" t="n">
        <f aca="false">M52+N51</f>
        <v>-125963.636655844</v>
      </c>
      <c r="O52" s="21" t="n">
        <f aca="false">N52+O51</f>
        <v>-147180.755035259</v>
      </c>
      <c r="P52" s="21" t="n">
        <f aca="false">O52+P51</f>
        <v>-170896.794801979</v>
      </c>
      <c r="Q52" s="21" t="n">
        <f aca="false">P52+Q51</f>
        <v>-197634.725933667</v>
      </c>
      <c r="R52" s="21" t="n">
        <f aca="false">Q52+R51</f>
        <v>-228020.489404502</v>
      </c>
      <c r="S52" s="21" t="n">
        <f aca="false">R52+S51</f>
        <v>-262803.704994416</v>
      </c>
      <c r="T52" s="21" t="n">
        <f aca="false">S52+T51</f>
        <v>-302882.512707483</v>
      </c>
      <c r="U52" s="21" t="n">
        <f aca="false">T52+U51</f>
        <v>-362051.57507797</v>
      </c>
      <c r="V52" s="21" t="n">
        <f aca="false">U52+V51</f>
        <v>-428883.233059325</v>
      </c>
      <c r="W52" s="21" t="n">
        <f aca="false">V52+W51</f>
        <v>-504925.006694148</v>
      </c>
      <c r="X52" s="21" t="n">
        <f aca="false">W52+X51</f>
        <v>-592032.869969128</v>
      </c>
      <c r="Y52" s="21" t="n">
        <f aca="false">X52+Y51</f>
        <v>-692433.015108374</v>
      </c>
    </row>
    <row r="55" customFormat="false" ht="15" hidden="false" customHeight="false" outlineLevel="0" collapsed="false">
      <c r="A55" s="3" t="s">
        <v>267</v>
      </c>
      <c r="B55" s="4"/>
      <c r="C55" s="4"/>
      <c r="D55" s="4"/>
      <c r="E55" s="4"/>
      <c r="F55" s="4"/>
      <c r="G55" s="4"/>
      <c r="H55" s="4"/>
    </row>
    <row r="56" customFormat="false" ht="27.75" hidden="false" customHeight="true" outlineLevel="0" collapsed="false">
      <c r="A56" s="7" t="s">
        <v>268</v>
      </c>
      <c r="B56" s="7" t="s">
        <v>269</v>
      </c>
      <c r="C56" s="7" t="s">
        <v>270</v>
      </c>
      <c r="D56" s="7" t="s">
        <v>271</v>
      </c>
    </row>
    <row r="57" customFormat="false" ht="15" hidden="false" customHeight="false" outlineLevel="0" collapsed="false">
      <c r="A57" s="5" t="s">
        <v>272</v>
      </c>
      <c r="B57" s="33" t="n">
        <f aca="false">M10</f>
        <v>274.52997592639</v>
      </c>
      <c r="C57" s="33" t="n">
        <f aca="false">M27</f>
        <v>896.664328726243</v>
      </c>
      <c r="D57" s="33" t="n">
        <f aca="false">M44</f>
        <v>2517.77900763752</v>
      </c>
    </row>
    <row r="58" customFormat="false" ht="15" hidden="false" customHeight="false" outlineLevel="0" collapsed="false">
      <c r="A58" s="5" t="s">
        <v>273</v>
      </c>
      <c r="B58" s="33" t="n">
        <f aca="false">Y10</f>
        <v>1184.4794269136</v>
      </c>
      <c r="C58" s="33" t="n">
        <f aca="false">Y27</f>
        <v>5172.71878742873</v>
      </c>
      <c r="D58" s="33" t="n">
        <f aca="false">Y44</f>
        <v>23502.7035090748</v>
      </c>
    </row>
    <row r="59" customFormat="false" ht="15" hidden="false" customHeight="false" outlineLevel="0" collapsed="false">
      <c r="A59" s="5" t="s">
        <v>274</v>
      </c>
      <c r="B59" s="21" t="n">
        <f aca="false">M12</f>
        <v>5880.92442113144</v>
      </c>
      <c r="C59" s="21" t="n">
        <f aca="false">M29</f>
        <v>19015.2058160855</v>
      </c>
      <c r="D59" s="21" t="n">
        <f aca="false">M46</f>
        <v>52508.798628791</v>
      </c>
    </row>
    <row r="60" customFormat="false" ht="15" hidden="false" customHeight="false" outlineLevel="0" collapsed="false">
      <c r="A60" s="5" t="s">
        <v>275</v>
      </c>
      <c r="B60" s="21" t="n">
        <f aca="false">Y12</f>
        <v>25642.5838421923</v>
      </c>
      <c r="C60" s="21" t="n">
        <f aca="false">Y29</f>
        <v>110654.880174903</v>
      </c>
      <c r="D60" s="21" t="n">
        <f aca="false">Y46</f>
        <v>493217.096914015</v>
      </c>
    </row>
    <row r="61" customFormat="false" ht="15" hidden="false" customHeight="false" outlineLevel="0" collapsed="false">
      <c r="A61" s="5" t="s">
        <v>276</v>
      </c>
      <c r="B61" s="21" t="n">
        <f aca="false">M17</f>
        <v>-1194.0296953865</v>
      </c>
      <c r="C61" s="21" t="n">
        <f aca="false">M34</f>
        <v>-4533.76138559206</v>
      </c>
      <c r="D61" s="21" t="n">
        <f aca="false">M51</f>
        <v>-17459.7501106945</v>
      </c>
    </row>
    <row r="62" customFormat="false" ht="15" hidden="false" customHeight="false" outlineLevel="0" collapsed="false">
      <c r="A62" s="5" t="s">
        <v>277</v>
      </c>
      <c r="B62" s="21" t="n">
        <f aca="false">Y17</f>
        <v>-2375.55966775447</v>
      </c>
      <c r="C62" s="21" t="n">
        <f aca="false">Y34</f>
        <v>-13550.7354345009</v>
      </c>
      <c r="D62" s="21" t="n">
        <f aca="false">Y51</f>
        <v>-100400.145139246</v>
      </c>
    </row>
    <row r="63" customFormat="false" ht="15" hidden="false" customHeight="false" outlineLevel="0" collapsed="false">
      <c r="A63" s="5" t="s">
        <v>278</v>
      </c>
      <c r="B63" s="21" t="n">
        <f aca="false">Y18</f>
        <v>-41713.4587343227</v>
      </c>
      <c r="C63" s="21" t="n">
        <f aca="false">Y35</f>
        <v>-147354.648513106</v>
      </c>
      <c r="D63" s="21" t="n">
        <f aca="false">Y52</f>
        <v>-692433.015108374</v>
      </c>
    </row>
    <row r="65" customFormat="false" ht="15" hidden="false" customHeight="false" outlineLevel="0" collapsed="false">
      <c r="A65" s="2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72"/>
  </cols>
  <sheetData>
    <row r="1" customFormat="false" ht="24" hidden="false" customHeight="tru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27.75" hidden="false" customHeight="true" outlineLevel="0" collapsed="false">
      <c r="A4" s="7" t="s">
        <v>268</v>
      </c>
      <c r="B4" s="7" t="s">
        <v>34</v>
      </c>
      <c r="C4" s="7" t="s">
        <v>282</v>
      </c>
    </row>
    <row r="5" customFormat="false" ht="15" hidden="false" customHeight="false" outlineLevel="0" collapsed="false">
      <c r="A5" s="3" t="s">
        <v>283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0" t="s">
        <v>284</v>
      </c>
      <c r="B6" s="29" t="n">
        <f aca="false">'Unit Economics'!$D$11</f>
        <v>11.02114064</v>
      </c>
      <c r="C6" s="2" t="s">
        <v>285</v>
      </c>
    </row>
    <row r="7" customFormat="false" ht="15" hidden="false" customHeight="false" outlineLevel="0" collapsed="false">
      <c r="A7" s="10" t="s">
        <v>286</v>
      </c>
      <c r="B7" s="34" t="n">
        <f aca="false">'Custos Fixos'!$C$26</f>
        <v>893.662</v>
      </c>
    </row>
    <row r="8" customFormat="false" ht="15" hidden="false" customHeight="false" outlineLevel="0" collapsed="false">
      <c r="A8" s="5" t="s">
        <v>287</v>
      </c>
      <c r="B8" s="35" t="n">
        <f aca="false">IF(B6&lt;=0,0,ROUNDUP(B7/B6,0))</f>
        <v>82</v>
      </c>
      <c r="C8" s="2" t="s">
        <v>288</v>
      </c>
    </row>
    <row r="9" customFormat="false" ht="15" hidden="false" customHeight="false" outlineLevel="0" collapsed="false">
      <c r="A9" s="10" t="s">
        <v>289</v>
      </c>
      <c r="B9" s="21" t="n">
        <f aca="false">B8*Premissas!$B$16</f>
        <v>1877.8</v>
      </c>
    </row>
    <row r="11" customFormat="false" ht="15" hidden="false" customHeight="false" outlineLevel="0" collapsed="false">
      <c r="A11" s="3" t="s">
        <v>290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291</v>
      </c>
      <c r="B12" s="20" t="n">
        <v>12000</v>
      </c>
      <c r="C12" s="2" t="s">
        <v>292</v>
      </c>
    </row>
    <row r="13" customFormat="false" ht="15" hidden="false" customHeight="false" outlineLevel="0" collapsed="false">
      <c r="A13" s="5" t="s">
        <v>293</v>
      </c>
      <c r="B13" s="35" t="n">
        <f aca="false">IF(B6&lt;=0,0,ROUNDUP((B7+B12)/B6,0))</f>
        <v>1170</v>
      </c>
      <c r="C13" s="2" t="s">
        <v>294</v>
      </c>
    </row>
    <row r="15" customFormat="false" ht="15" hidden="false" customHeight="false" outlineLevel="0" collapsed="false">
      <c r="A15" s="3" t="s">
        <v>295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0" t="s">
        <v>296</v>
      </c>
      <c r="B16" s="34" t="n">
        <f aca="false">'Investimento Inicial'!$B$20</f>
        <v>35256.7</v>
      </c>
    </row>
    <row r="17" customFormat="false" ht="15" hidden="false" customHeight="false" outlineLevel="0" collapsed="false">
      <c r="A17" s="10" t="s">
        <v>297</v>
      </c>
      <c r="B17" s="34" t="n">
        <f aca="false">'Projecao 24 meses'!Y34</f>
        <v>-13550.7354345009</v>
      </c>
    </row>
    <row r="18" customFormat="false" ht="15" hidden="false" customHeight="false" outlineLevel="0" collapsed="false">
      <c r="A18" s="10" t="s">
        <v>298</v>
      </c>
      <c r="B18" s="34" t="n">
        <f aca="false">'Projecao 24 meses'!Y35</f>
        <v>-147354.648513106</v>
      </c>
    </row>
    <row r="19" customFormat="false" ht="15" hidden="false" customHeight="false" outlineLevel="0" collapsed="false">
      <c r="A19" s="5" t="s">
        <v>299</v>
      </c>
      <c r="B19" s="36" t="str">
        <f aca="false">IF(B18&gt;=B16,"SIM","NÃO")</f>
        <v>NÃO</v>
      </c>
      <c r="C19" s="2" t="s">
        <v>300</v>
      </c>
    </row>
    <row r="21" customFormat="false" ht="15" hidden="false" customHeight="false" outlineLevel="0" collapsed="false">
      <c r="A21" s="3" t="s">
        <v>301</v>
      </c>
      <c r="B21" s="4"/>
      <c r="C21" s="4"/>
      <c r="D21" s="4"/>
      <c r="E21" s="4"/>
      <c r="F21" s="4"/>
      <c r="G21" s="4"/>
      <c r="H21" s="4"/>
    </row>
    <row r="22" customFormat="false" ht="27.75" hidden="false" customHeight="true" outlineLevel="0" collapsed="false">
      <c r="A22" s="7" t="s">
        <v>302</v>
      </c>
      <c r="B22" s="7" t="s">
        <v>303</v>
      </c>
      <c r="C22" s="7" t="s">
        <v>304</v>
      </c>
    </row>
    <row r="23" customFormat="false" ht="25.5" hidden="false" customHeight="true" outlineLevel="0" collapsed="false">
      <c r="A23" s="10" t="s">
        <v>305</v>
      </c>
      <c r="B23" s="16" t="n">
        <f aca="false">Premissas!$B$28*0.5*Premissas!$B$15+Premissas!$B$30*0.5*(1-Premissas!$B$15)</f>
        <v>3.30451968</v>
      </c>
      <c r="C23" s="12" t="s">
        <v>306</v>
      </c>
    </row>
    <row r="24" customFormat="false" ht="25.5" hidden="false" customHeight="true" outlineLevel="0" collapsed="false">
      <c r="A24" s="10" t="s">
        <v>307</v>
      </c>
      <c r="B24" s="16" t="n">
        <f aca="false">Premissas!$B$16*Premissas!$B$10*Premissas!$B$9</f>
        <v>1.0305</v>
      </c>
      <c r="C24" s="12" t="s">
        <v>308</v>
      </c>
    </row>
    <row r="25" customFormat="false" ht="25.5" hidden="false" customHeight="true" outlineLevel="0" collapsed="false">
      <c r="A25" s="10" t="s">
        <v>309</v>
      </c>
      <c r="B25" s="16" t="n">
        <f aca="false">'Unit Economics'!$D$11*(1/0.05-1/Premissas!$B$38)</f>
        <v>62.9779465142857</v>
      </c>
      <c r="C25" s="12" t="s">
        <v>310</v>
      </c>
    </row>
    <row r="27" customFormat="false" ht="15" hidden="false" customHeight="false" outlineLevel="0" collapsed="false">
      <c r="A27" s="3" t="s">
        <v>311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10" t="s">
        <v>312</v>
      </c>
      <c r="B28" s="16" t="n">
        <f aca="false">'Unit Economics'!$D$16/3</f>
        <v>52.4816220952381</v>
      </c>
      <c r="C28" s="12" t="s">
        <v>313</v>
      </c>
    </row>
    <row r="29" customFormat="false" ht="15" hidden="false" customHeight="false" outlineLevel="0" collapsed="false">
      <c r="A29" s="10" t="s">
        <v>314</v>
      </c>
      <c r="B29" s="37" t="n">
        <f aca="false">IF(Premissas!$B$36=0,0,'Unit Economics'!$D$11/(3*Premissas!$B$36))</f>
        <v>0.0306142795555556</v>
      </c>
      <c r="C29" s="12" t="s">
        <v>315</v>
      </c>
    </row>
    <row r="30" customFormat="false" ht="22.35" hidden="false" customHeight="false" outlineLevel="0" collapsed="false">
      <c r="A30" s="10" t="s">
        <v>316</v>
      </c>
      <c r="B30" s="16" t="n">
        <f aca="false">3*Premissas!$B$36*Premissas!$B$38</f>
        <v>25.2</v>
      </c>
      <c r="C30" s="12" t="s">
        <v>317</v>
      </c>
    </row>
    <row r="31" customFormat="false" ht="15" hidden="false" customHeight="false" outlineLevel="0" collapsed="false">
      <c r="A31" s="10" t="s">
        <v>318</v>
      </c>
      <c r="B31" s="29" t="n">
        <f aca="false">'Unit Economics'!$D$11</f>
        <v>11.02114064</v>
      </c>
      <c r="C31" s="2" t="s">
        <v>285</v>
      </c>
    </row>
    <row r="32" customFormat="false" ht="39.75" hidden="false" customHeight="true" outlineLevel="0" collapsed="false">
      <c r="A32" s="5" t="s">
        <v>319</v>
      </c>
      <c r="B32" s="38" t="str">
        <f aca="false">IF(B30&lt;=B31,"O modelo fecha com mídia paga.",IF(B30&gt;Premissas!$B$16,"O preço atual NÃO comporta mídia paga: a margem necessária supera a própria receita. Cresça por canal orgânico, parcerias e white label, ou reveja preço e churn.","O preço comporta, mas só se os custos variáveis (IA e comissão de loja) caírem."))</f>
        <v>O preço atual NÃO comporta mídia paga: a margem necessária supera a própria receita. Cresça por canal orgânico, parcerias e white label, ou reveja preço e churn.</v>
      </c>
      <c r="C32" s="38"/>
    </row>
  </sheetData>
  <mergeCells count="1"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78"/>
  </cols>
  <sheetData>
    <row r="1" customFormat="false" ht="24" hidden="false" customHeight="true" outlineLevel="0" collapsed="false">
      <c r="A1" s="1" t="s">
        <v>320</v>
      </c>
    </row>
    <row r="2" customFormat="false" ht="15" hidden="false" customHeight="false" outlineLevel="0" collapsed="false">
      <c r="A2" s="2" t="s">
        <v>321</v>
      </c>
    </row>
    <row r="4" customFormat="false" ht="27.75" hidden="false" customHeight="true" outlineLevel="0" collapsed="false">
      <c r="A4" s="7" t="s">
        <v>92</v>
      </c>
      <c r="B4" s="7" t="s">
        <v>322</v>
      </c>
      <c r="C4" s="7" t="s">
        <v>323</v>
      </c>
    </row>
    <row r="5" customFormat="false" ht="21.75" hidden="false" customHeight="true" outlineLevel="0" collapsed="false">
      <c r="A5" s="10" t="s">
        <v>324</v>
      </c>
      <c r="B5" s="5" t="s">
        <v>325</v>
      </c>
      <c r="C5" s="12" t="s">
        <v>326</v>
      </c>
    </row>
    <row r="6" customFormat="false" ht="21.75" hidden="false" customHeight="true" outlineLevel="0" collapsed="false">
      <c r="A6" s="10" t="s">
        <v>327</v>
      </c>
      <c r="B6" s="5" t="s">
        <v>328</v>
      </c>
      <c r="C6" s="12" t="s">
        <v>329</v>
      </c>
    </row>
    <row r="7" customFormat="false" ht="21.75" hidden="false" customHeight="true" outlineLevel="0" collapsed="false">
      <c r="A7" s="10" t="s">
        <v>330</v>
      </c>
      <c r="B7" s="5" t="s">
        <v>331</v>
      </c>
      <c r="C7" s="12" t="s">
        <v>332</v>
      </c>
    </row>
    <row r="8" customFormat="false" ht="21.75" hidden="false" customHeight="true" outlineLevel="0" collapsed="false">
      <c r="A8" s="10" t="s">
        <v>333</v>
      </c>
      <c r="B8" s="5" t="s">
        <v>334</v>
      </c>
      <c r="C8" s="12" t="s">
        <v>335</v>
      </c>
    </row>
    <row r="9" customFormat="false" ht="21.75" hidden="false" customHeight="true" outlineLevel="0" collapsed="false">
      <c r="A9" s="10" t="s">
        <v>336</v>
      </c>
      <c r="B9" s="5" t="s">
        <v>337</v>
      </c>
      <c r="C9" s="12" t="s">
        <v>338</v>
      </c>
    </row>
    <row r="10" customFormat="false" ht="21.75" hidden="false" customHeight="true" outlineLevel="0" collapsed="false">
      <c r="A10" s="10" t="s">
        <v>339</v>
      </c>
      <c r="B10" s="5" t="s">
        <v>340</v>
      </c>
      <c r="C10" s="12" t="s">
        <v>341</v>
      </c>
    </row>
    <row r="11" customFormat="false" ht="21.75" hidden="false" customHeight="true" outlineLevel="0" collapsed="false">
      <c r="A11" s="10" t="s">
        <v>342</v>
      </c>
      <c r="B11" s="5" t="s">
        <v>343</v>
      </c>
      <c r="C11" s="12" t="s">
        <v>344</v>
      </c>
    </row>
    <row r="12" customFormat="false" ht="21.75" hidden="false" customHeight="true" outlineLevel="0" collapsed="false">
      <c r="A12" s="10" t="s">
        <v>345</v>
      </c>
      <c r="B12" s="5" t="s">
        <v>346</v>
      </c>
      <c r="C12" s="12" t="s">
        <v>347</v>
      </c>
    </row>
    <row r="13" customFormat="false" ht="21.75" hidden="false" customHeight="true" outlineLevel="0" collapsed="false">
      <c r="A13" s="10" t="s">
        <v>348</v>
      </c>
      <c r="B13" s="5" t="s">
        <v>349</v>
      </c>
      <c r="C13" s="12" t="s">
        <v>350</v>
      </c>
    </row>
    <row r="14" customFormat="false" ht="21.75" hidden="false" customHeight="true" outlineLevel="0" collapsed="false">
      <c r="A14" s="10" t="s">
        <v>351</v>
      </c>
      <c r="B14" s="5" t="s">
        <v>352</v>
      </c>
      <c r="C14" s="12" t="s">
        <v>350</v>
      </c>
    </row>
    <row r="15" customFormat="false" ht="21.75" hidden="false" customHeight="true" outlineLevel="0" collapsed="false">
      <c r="A15" s="10" t="s">
        <v>353</v>
      </c>
      <c r="B15" s="5" t="s">
        <v>354</v>
      </c>
      <c r="C15" s="12" t="s">
        <v>355</v>
      </c>
    </row>
    <row r="16" customFormat="false" ht="21.75" hidden="false" customHeight="true" outlineLevel="0" collapsed="false">
      <c r="A16" s="10" t="s">
        <v>356</v>
      </c>
      <c r="B16" s="5" t="s">
        <v>357</v>
      </c>
      <c r="C16" s="12" t="s">
        <v>358</v>
      </c>
    </row>
    <row r="17" customFormat="false" ht="21.75" hidden="false" customHeight="true" outlineLevel="0" collapsed="false">
      <c r="A17" s="10" t="s">
        <v>359</v>
      </c>
      <c r="B17" s="5" t="s">
        <v>360</v>
      </c>
      <c r="C17" s="12" t="s">
        <v>361</v>
      </c>
    </row>
    <row r="19" customFormat="false" ht="15" hidden="false" customHeight="false" outlineLevel="0" collapsed="false">
      <c r="A19" s="2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2026-07-27T14:32:53Z</dcterms:created>
  <dc:creator>openpyxl</dc:creator>
  <dc:description/>
  <dc:language>en-US</dc:language>
  <cp:lastModifiedBy/>
  <dcterms:modified xsi:type="dcterms:W3CDTF">2026-07-27T14:32:53Z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